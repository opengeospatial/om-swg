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thi\Dropbox\cove\OGC\O&amp;M\OMS Logical\"/>
    </mc:Choice>
  </mc:AlternateContent>
  <xr:revisionPtr revIDLastSave="0" documentId="13_ncr:1_{23137FE3-0668-4999-9C78-4B4D927E90EB}" xr6:coauthVersionLast="47" xr6:coauthVersionMax="47" xr10:uidLastSave="{00000000-0000-0000-0000-000000000000}"/>
  <bookViews>
    <workbookView xWindow="-120" yWindow="-120" windowWidth="29040" windowHeight="15840" tabRatio="500" activeTab="2" xr2:uid="{00000000-000D-0000-FFFF-FFFF00000000}"/>
  </bookViews>
  <sheets>
    <sheet name="Summary" sheetId="1" r:id="rId1"/>
    <sheet name="Summary KS" sheetId="8" r:id="rId2"/>
    <sheet name="Comments" sheetId="6" r:id="rId3"/>
    <sheet name="ToDo" sheetId="4" r:id="rId4"/>
  </sheets>
  <definedNames>
    <definedName name="_xlnm._FilterDatabase" localSheetId="2" hidden="1">Comments!$A$1:$M$69</definedName>
  </definedNames>
  <calcPr calcId="191029"/>
  <pivotCaches>
    <pivotCache cacheId="7" r:id="rId5"/>
  </pivotCaches>
</workbook>
</file>

<file path=xl/calcChain.xml><?xml version="1.0" encoding="utf-8"?>
<calcChain xmlns="http://schemas.openxmlformats.org/spreadsheetml/2006/main">
  <c r="B17" i="1" l="1"/>
  <c r="B16" i="1"/>
  <c r="B15" i="1"/>
  <c r="B14" i="1"/>
  <c r="B13" i="1"/>
  <c r="B12" i="1"/>
  <c r="B9" i="1"/>
  <c r="B8" i="1"/>
  <c r="B7" i="1"/>
  <c r="B6" i="1"/>
  <c r="B5" i="1"/>
</calcChain>
</file>

<file path=xl/sharedStrings.xml><?xml version="1.0" encoding="utf-8"?>
<sst xmlns="http://schemas.openxmlformats.org/spreadsheetml/2006/main" count="1170" uniqueCount="620">
  <si>
    <t>OGC 26-019 - OMS Logical Model: review comment summary</t>
  </si>
  <si>
    <t>Reviewer: Frederic Houbie (OGC Architecture Board) - prepared 24 August 2026</t>
  </si>
  <si>
    <t>By severity</t>
  </si>
  <si>
    <t>Blocking</t>
  </si>
  <si>
    <t>Major</t>
  </si>
  <si>
    <t>Minor</t>
  </si>
  <si>
    <t>OK</t>
  </si>
  <si>
    <t>Total</t>
  </si>
  <si>
    <t>By category</t>
  </si>
  <si>
    <t>Architecture</t>
  </si>
  <si>
    <t>Traceability</t>
  </si>
  <si>
    <t>Model content</t>
  </si>
  <si>
    <t>References</t>
  </si>
  <si>
    <t>Editorial</t>
  </si>
  <si>
    <t>Links</t>
  </si>
  <si>
    <t>Legend</t>
  </si>
  <si>
    <t>Type Ge</t>
  </si>
  <si>
    <t>General / architectural - affects the design or the standard's place in the baseline</t>
  </si>
  <si>
    <t>Type Te</t>
  </si>
  <si>
    <t>Technical - affects normative content, traceability or correctness</t>
  </si>
  <si>
    <t>Type Ed</t>
  </si>
  <si>
    <t>Editorial - affects readability, consistency or presentation</t>
  </si>
  <si>
    <t>Should be resolved before the document is released for public comment / OAB approval</t>
  </si>
  <si>
    <t>Should be resolved before publication as an OGC Standard</t>
  </si>
  <si>
    <t>Editorial pass</t>
  </si>
  <si>
    <t>Line (md)</t>
  </si>
  <si>
    <t>Line numbers refer to the Markdown rendering of the reviewed .docx, for locating the text</t>
  </si>
  <si>
    <t>ID</t>
  </si>
  <si>
    <t>Clause / location</t>
  </si>
  <si>
    <t>Category</t>
  </si>
  <si>
    <t>Type</t>
  </si>
  <si>
    <t>Severity</t>
  </si>
  <si>
    <t>Finding</t>
  </si>
  <si>
    <t>Proposed change</t>
  </si>
  <si>
    <t>A-01</t>
  </si>
  <si>
    <t>2, 8-11 (all req classes)</t>
  </si>
  <si>
    <t>373, 1144+</t>
  </si>
  <si>
    <t>Ge</t>
  </si>
  <si>
    <t>The document claims to be a 'logical transposition' of OMS and that domain models built on it 'will be compliant with OMS', but no Requirements Class lists ISO 19156:2023 as a dependency. Only ISO 19103:2015 (and ISO 19108 for Observation) are cited. Nothing normatively ties any OMS-L class, attribute or association role to its OMS counterpart, and no conformance test verifies OMS compliance.</t>
  </si>
  <si>
    <t>Add ISO 19156:2023 as a dependency of every Requirements Class. Add a normative mapping annex: OMS-L class/property -&gt; OMS class/property, stating the OMS layer of origin (Conceptual / Abstract Core / Basic) for each, and a conformance test that checks the mapping.</t>
  </si>
  <si>
    <t>A-02</t>
  </si>
  <si>
    <t>8-11 vs ISO 19156:2023</t>
  </si>
  <si>
    <t>1121+</t>
  </si>
  <si>
    <t>OMS-L restates the OMS semantics verbatim as its own normative 'shall' statements (e.g. Observation-sem, Sample-sem, Sampler-sem). Two independently maintained normative definitions of the same concept will drift as ISO 19156 is revised.</t>
  </si>
  <si>
    <t>Normatively reference ISO 19156:2023 for the semantics and restrict OMS-L requirements to what OMS-L actually adds: the flattening, the direct class-to-class associations, and any tightened cardinalities/constraints.</t>
  </si>
  <si>
    <t>A-03</t>
  </si>
  <si>
    <t>5.2, 6.2</t>
  </si>
  <si>
    <t>625-631, 667-675</t>
  </si>
  <si>
    <t>Encoding neutrality is broken in a document that presents itself as a logical model. Clause 6.2 makes identity, name and description depend on gml:id / gml:name / gml:description (and states gml:id uniqueness is scoped 'within the XML document'), and clause 5.2 constrains the UML to the GML profile of ISO 19136-1:2020 Annex E. This blocks clean derivation to JSON, RDF and OGC API resources - the stated audience (TSML, WMDR, STA).</t>
  </si>
  <si>
    <t>Define abstract identifier / name / description properties in the model itself, with multiplicities. Move the GML/ISO 19136-1 profile statement and the gml:* mapping to an informative annex or a separate encoding standard.</t>
  </si>
  <si>
    <t>A-04</t>
  </si>
  <si>
    <t>11.1, Annex</t>
  </si>
  <si>
    <t>1743, 2163+</t>
  </si>
  <si>
    <t>Clause 11 defines ~40 single-property Requirements Classes to allow 'mix and match'. This produces a combinatorial explosion of conformance classes with no stated dependency graph, no core/extension hierarchy, and no guidance on which combinations are meaningful.</t>
  </si>
  <si>
    <t>Either consolidate into one MonitoringFacilityExt / NetworkExt / ActivityExt / ProgrammeExt Requirements Class per class with optional properties (plus named profiles for common combinations), or add an explicit conformance-class dependency diagram and rules justifying property-level granularity.</t>
  </si>
  <si>
    <t>A-05</t>
  </si>
  <si>
    <t>2</t>
  </si>
  <si>
    <t>373-379</t>
  </si>
  <si>
    <t>Clause 2 (Conformance) does not meet OGC Policy: it lists no Requirements Classes, no corresponding Conformance Classes, no standardization target types, no mandatory/optional/conditional designation and no dependency structure. It also points to 'Annex A (normative)', which does not exist as such (see B-01).</t>
  </si>
  <si>
    <t>Rewrite clause 2 with the standard OGC content: a table of Requirements Classes with their Conformance Classes and URIs, the standardization target(s), which classes are mandatory, and a conformance-class dependency diagram.</t>
  </si>
  <si>
    <t>A-06</t>
  </si>
  <si>
    <t>8.11-8.13, 9.15-9.17, 11.6</t>
  </si>
  <si>
    <t>1331+, 1616+, 2089+</t>
  </si>
  <si>
    <t>Codelists are specified inline with enumerated 'the following entries shall be provided' values but no register URIs, and the extensibility model is self-contradictory: several classes are described as 'an empty extension-point' while simultaneously mandating entries. No OGC Definitions Server / Rainbow registration is referenced.</t>
  </si>
  <si>
    <t>State for each codelist whether it is open or closed, publish the values on the OGC Definitions Server and cite the register URI, and remove the 'empty extension-point' wording from codelists that do enumerate values.</t>
  </si>
  <si>
    <t>A-07</t>
  </si>
  <si>
    <t>5.4, header, all URIs</t>
  </si>
  <si>
    <t>639-643, 9, 13</t>
  </si>
  <si>
    <t>URI policy is unresolved. Clause 5.4 still contains the template 'http://www.opengis.net/spec/{standard}/{m.n}'. All 235 requirement/conformance URIs use the token 'OMS-L' at version 1.0 over http://, while the document metadata says Version 0.0.1. 'OMS-L' is not in the abbreviations list and http://www.opengis.net/spec/OMS-L/1.0 does not resolve.</t>
  </si>
  <si>
    <t>Fill in clause 5.4 with the real base URI, register the 'OMS-L' token with the OGC Naming Authority, use https:// throughout, add OMS-L to clause 5.1, and reconcile the Version field with the URI version.</t>
  </si>
  <si>
    <t>A-08</t>
  </si>
  <si>
    <t>General</t>
  </si>
  <si>
    <t>-</t>
  </si>
  <si>
    <t>No machine-readable model artefacts are referenced: no UML/XMI or Enterprise Architect package location, no ShapeChange configuration, no repository. The normative content of a logical model is the model, yet only rendered PNG diagrams are supplied (embedded as base64).</t>
  </si>
  <si>
    <t>Publish the UML model in a version-controlled OGC repository and reference it normatively; supply diagrams as vector artefacts generated from that model.</t>
  </si>
  <si>
    <t>A-09</t>
  </si>
  <si>
    <t>Preface, 6.1</t>
  </si>
  <si>
    <t>332, 663</t>
  </si>
  <si>
    <t>The strategic position of the deliverable is not stated. If OMS-L is a flattening of ISO 19156, the OAB needs to know why it is an OGC Standard rather than a Best Practice, an OGC profile, or an amendment to ISO 19156 itself, and how it will be kept in step with the ISO/TC 211 revision cycle. The relationship to TSML, WMDR, SensorThings, SensorML and the wider OGC sensor baseline is mentioned only informatively.</t>
  </si>
  <si>
    <t>Add a clause (or expand the Preface) stating the relationship to ISO 19156 maintenance, the intended lifecycle, and the dependency/alignment status of TSML, WMDR and the OGC sensor baseline.</t>
  </si>
  <si>
    <t>A-10</t>
  </si>
  <si>
    <t>Security Considerations</t>
  </si>
  <si>
    <t>338-340</t>
  </si>
  <si>
    <t>'No security considerations have been made for this Standard' is a placeholder, not a security considerations clause.</t>
  </si>
  <si>
    <t>Provide a substantive clause. A defensible conclusion is that the logical model introduces no new security considerations beyond those of the encodings that realise it - but that conclusion must be stated and reasoned.</t>
  </si>
  <si>
    <t>A-11</t>
  </si>
  <si>
    <t>Front matter</t>
  </si>
  <si>
    <t>3-38</t>
  </si>
  <si>
    <t>Ed</t>
  </si>
  <si>
    <t>Document metadata is unresolved template text: Submission Date '&lt;2026-04-15&gt;', Approval and Publication Date '&lt;yyyy-mm-dd&gt;', Document type 'OGC(R) &lt;Standard &gt;' (stray angle brackets and space), Document subtype 'if applicable', External identifier an unexpanded template. There is no Abstract, no Bibliography, no revision-history annex and no 'Future work' clause.</t>
  </si>
  <si>
    <t>Complete all metadata fields and add the missing mandatory front/back matter per the OGC document template.</t>
  </si>
  <si>
    <t>A-12</t>
  </si>
  <si>
    <t>7 vs 8-11</t>
  </si>
  <si>
    <t>695-1119</t>
  </si>
  <si>
    <t>Informative clause 7 restates every class and all its properties in prose, duplicating the normative clauses 8-11. Divergences already exist (see B-19, B-20, B-21, B-22).</t>
  </si>
  <si>
    <t>Reduce clause 7 to a short conceptual overview with pointers into clauses 8-11, so that there is a single description of each property.</t>
  </si>
  <si>
    <t>B-01</t>
  </si>
  <si>
    <t>Annex</t>
  </si>
  <si>
    <t>2163-2167</t>
  </si>
  <si>
    <t>Te</t>
  </si>
  <si>
    <t>The Annex structure is invalid. 'Annex' is a heading-1, followed by further heading-1s 'Observation', 'Sampling', 'EF', 'EF Extended'; the line 'Annex A: Conformance Class Test Suite (Normative)' appears as body text inside. There is no annex lettering, no (normative)/(informative) designation, and the TOC lists these entries unnumbered.</t>
  </si>
  <si>
    <t>Restructure as 'Annex A (normative) Conformance Class Test Suite' with A.1 Observation, A.2 Sampling, A.3 Monitoring Core, A.4 Monitoring Extended, and regenerate the TOC.</t>
  </si>
  <si>
    <t>B-02</t>
  </si>
  <si>
    <t>Annex vs 11.3, 11.4, 11.5</t>
  </si>
  <si>
    <t>2683-2923 vs 1893-2087</t>
  </si>
  <si>
    <t>22 Conformance Classes reference Requirements Classes that do not exist. The Annex consistently uses req-class-MonitoringNetworkExt-*, MonitoringProgrammeExt-* and MonitoringActivityExt-*, while clause 11 defines them without the 'Ext' infix (req-class-MonitoringNetwork-*, MonitoringProgramme-*, MonitoringActivity-*). Symmetrically, 20 Requirements Classes have no Conformance Class.</t>
  </si>
  <si>
    <t>Adopt one naming convention (recommended: the 'Ext' form used for MonitoringFacilityExt in clause 11.2) and apply it to every Requirements Class and Conformance Class URI. A URI-level cross-check should be added to the SWG's editorial workflow.</t>
  </si>
  <si>
    <t>B-03</t>
  </si>
  <si>
    <t>Annex (EF Extended)</t>
  </si>
  <si>
    <t>2538+</t>
  </si>
  <si>
    <t>Conformance Classes conf-class-MonitoringFacilityExt-additionalDescription, conf-class-MonitoringNetworkExt-additionalDescription and conf-class-MonitoringProgrammeExt-additionalDescription exist, but there is no 'additionalDescription' Requirements Class anywhere in clause 11 - although clauses 7.3.2-7.3.4 list additionalDescription as an attribute of all three classes.</t>
  </si>
  <si>
    <t>Add the three missing Requirements Classes in clause 11, or delete the three Conformance Classes.</t>
  </si>
  <si>
    <t>B-04</t>
  </si>
  <si>
    <t>11.6</t>
  </si>
  <si>
    <t>2091-2161</t>
  </si>
  <si>
    <t>Six Requirements Classes have no Conformance Class at all: SpecialisedMFTypeValue, PurposeOfCollectionValue, MediaValue, MeasurementRegimeValue, ResultAcquisitionSourceValue, ResultNatureValue.</t>
  </si>
  <si>
    <t>Add the six corresponding Conformance Classes to Annex A.</t>
  </si>
  <si>
    <t>B-05</t>
  </si>
  <si>
    <t>11.2-11.5 (all Req rows)</t>
  </si>
  <si>
    <t>1770-2087</t>
  </si>
  <si>
    <t>Requirement identifiers do not nest under their own Requirements Class. E.g. class 'req-class-MonitoringFacilityExt-mediaMonitored' contains requirement '/req/req-class-MonitoringFacility/mediaMonitored'. The same pattern affects all ~40 extended Requirements Classes, so no requirement in clause 11 is addressable from its class.</t>
  </si>
  <si>
    <t>Renumber every requirement identifier so it is relative to its own Requirements Class, e.g. /req/req-class-MonitoringFacilityExt-mediaMonitored/mediaMonitored-sem.</t>
  </si>
  <si>
    <t>B-06</t>
  </si>
  <si>
    <t>8.2 Req 29; 8.8 Req 11</t>
  </si>
  <si>
    <t>1177, 1287</t>
  </si>
  <si>
    <t>Two requirement identifiers were imported unchanged from OMS and do not belong to this document's URI space: '/req/obs-cpt/gen/relatedObservation-sem' (Observation Req 29) and '/req/obs-basic/ObservationCharacteristics/collection-sem' (ObservationCharacteristics Req 11).</t>
  </si>
  <si>
    <t>Rewrite both under the OMS-L req-class namespace.</t>
  </si>
  <si>
    <t>B-07</t>
  </si>
  <si>
    <t>8.2 Rec 1-3</t>
  </si>
  <si>
    <t>1179-1181</t>
  </si>
  <si>
    <t>In the Observation Requirements Class, Rec 1-3 are identified as '/rec/req-class-ObservationCharacteristics/...' and duplicate Rec 1-3 of the ObservationCharacteristics class (8.8).</t>
  </si>
  <si>
    <t>Re-identify the Observation recommendations under req-class-Observation, or delete them if the intent was only to state them once on ObservationCharacteristics.</t>
  </si>
  <si>
    <t>B-08</t>
  </si>
  <si>
    <t>Annex (MonitoringFacilityExt geometryRequired)</t>
  </si>
  <si>
    <t>One table carries three different names for the same thing: Conformance Class 'conf-class-MonitoringFacility-geometryRequired', test 'conf-class-MonitoringFacilityExt-geometryRequired/test-1', and Requirement 'req-class-MonitoringFacilityExt-geometryRequired'.</t>
  </si>
  <si>
    <t>Make all three consistent.</t>
  </si>
  <si>
    <t>B-09</t>
  </si>
  <si>
    <t>11.6.3</t>
  </si>
  <si>
    <t>2122</t>
  </si>
  <si>
    <t>Malformed URI: the Requirements Class reads 'http://www.opengis.net/spec/OMS-L/1.0/req/req-class-' followed by 'MediaValue' outside the URI, because the bold formatting has split the class name off. The URI as written terminates at 'req-class-'.</t>
  </si>
  <si>
    <t>Repair to a single unbroken URI: .../req/req-class-MediaValue.</t>
  </si>
  <si>
    <t>B-10</t>
  </si>
  <si>
    <t>8.5; 9.11</t>
  </si>
  <si>
    <t>1230-1231, 1571</t>
  </si>
  <si>
    <t>Numbering defects in requirement tables: the Observer class has two requirements both numbered 'Req 6' (location/relatedObservation and metadata); the SampleCollection class has a fourth requirement (metadata-sem) with an empty number cell.</t>
  </si>
  <si>
    <t>Renumber both tables.</t>
  </si>
  <si>
    <t>B-11</t>
  </si>
  <si>
    <t>8.12</t>
  </si>
  <si>
    <t>1353-1354</t>
  </si>
  <si>
    <t>ObservationTypeByResultType Req 1 and Req 2 carry the identical identifier '/ObservationTypeByResultType-sem'. Req 2 is a constraint, not a semantic definition.</t>
  </si>
  <si>
    <t>Rename Req 2 to '/ObservationTypeByResultType-con'.</t>
  </si>
  <si>
    <t>B-12</t>
  </si>
  <si>
    <t>Req 1 enumerates 10 values but Req 2 constrains only 7. discrete-coverage-observation, discrete-point-coverage and timeseries-observation are given no result-type constraint, so the codelist value carries no testable meaning. 'discrete-point-coverage' also breaks the '-observation' naming pattern of every other value.</t>
  </si>
  <si>
    <t>Add the three missing constraints (or state explicitly why they cannot be constrained), and rename to 'discrete-point-coverage-observation'.</t>
  </si>
  <si>
    <t>B-13</t>
  </si>
  <si>
    <t>8.2 Req 2 / Req 3</t>
  </si>
  <si>
    <t>1150-1151</t>
  </si>
  <si>
    <t>Req 2 ('type-sem') already mandates the property observationType:ObservationType; Req 3 ('observationType-sem') restates the same obligation.</t>
  </si>
  <si>
    <t>Merge Req 2 and Req 3.</t>
  </si>
  <si>
    <t>B-14</t>
  </si>
  <si>
    <t>Annex (all conformance tests)</t>
  </si>
  <si>
    <t>2176+</t>
  </si>
  <si>
    <t>Every conformance test in the Annex is the same untestable pair: purpose 'Verify that all requirements from the requirements class have been fulfilled', method 'Inspect the documentation of the application, schema or profile'. A single test covers Requirements Classes holding up to 30 requirements, and gives no pass/fail criterion.</t>
  </si>
  <si>
    <t>Provide one test assertion per requirement, or at minimum per group of related requirements, with an explicit pass criterion. For a logical model, abstract test suites in the ISO 19105 style are the expected form.</t>
  </si>
  <si>
    <t>B-15</t>
  </si>
  <si>
    <t>8.2 Req 7-11</t>
  </si>
  <si>
    <t>1155-1159</t>
  </si>
  <si>
    <t>Conditional and absolute obligations conflict. Req 7 says 'If the phenomenonTime is described...' while Req 8 says an Observation 'shall have exactly 1 phenomenonTime'; the same conflict exists for resultTime (Req 9 vs Req 10). In addition Req 9 types resultTime as TM_Object while Req 11 requires TM_Instant.</t>
  </si>
  <si>
    <t>Decide whether phenomenonTime and resultTime are mandatory; drop the conditional phrasing where they are; and give resultTime one type.</t>
  </si>
  <si>
    <t>B-16</t>
  </si>
  <si>
    <t>8.2 Req 22, 24; 8.8 Req 8, 13</t>
  </si>
  <si>
    <t>1170-1172, 1284, 1289</t>
  </si>
  <si>
    <t>Role names are inconsistent with the model. Req 22 and Req 24 require 'the association with the role procedure' although the role is named observingProcedure in the clause heading, in Req 23 and in clause 7.1.2. ObservationCharacteristics Req 8 and Req 13 require associations named 'Domain' and 'Range', which are never defined in this document.</t>
  </si>
  <si>
    <t>Use observingProcedure consistently, and either define the Domain and Range association names normatively or remove them.</t>
  </si>
  <si>
    <t>B-17</t>
  </si>
  <si>
    <t>Attributes are systematically specified as associations, and no property types are given. E.g. 'If indication whether the MonitoringFacility is mobile is provided, the association with the role mobile shall be used' - mobile is a Boolean attribute. The same pattern applies to mediaMonitored, measurementRegime, purpose, legalBackground, activityTime, activityConditions and onlineResource. Unlike clauses 8-9, none of these requirements state a type (name:Type).</t>
  </si>
  <si>
    <t>Distinguish attributes from associations and give every property an explicit type, as clauses 8 and 9 do.</t>
  </si>
  <si>
    <t>B-18</t>
  </si>
  <si>
    <t>11.3.6</t>
  </si>
  <si>
    <t>1953</t>
  </si>
  <si>
    <t>MonitoringNetwork organisationLevel Req 1 ends '...the association with the role supersedes shall be used' - wrong role, copied from the neighbouring subclause.</t>
  </si>
  <si>
    <t>Change to 'the role organisationLevel'.</t>
  </si>
  <si>
    <t>B-19</t>
  </si>
  <si>
    <t>9.3 Req 10</t>
  </si>
  <si>
    <t>1423</t>
  </si>
  <si>
    <t>SpatialSample verticalPositionalAccuracy Req 10 reads 'If horizontal positional accuracy information pertaining to the SpatialSample is provided, the attribute verticalPositionalAccuracy:Any shall be used.'</t>
  </si>
  <si>
    <t>Change 'horizontal' to 'vertical'.</t>
  </si>
  <si>
    <t>B-20</t>
  </si>
  <si>
    <t>10.2-10.5, 7.3</t>
  </si>
  <si>
    <t>1689-1737, 1037-1045</t>
  </si>
  <si>
    <t>Classes referenced normatively but never defined anywhere in the document: ObservingCapability (Req 4 of 10.2, Req 3 of 10.3, Req 2 of 10.5 and clause 10.1) and the association classes Hierarchy, NetworkFacility and AnyDomainLink (Reqs 5-8 of 10.2, Reqs 2, 4, 5 of 10.3, Reqs 3-4 of 10.5). None has a Requirements Class, a clause or a definition. MonitoringNetwork Req 6 also refers to 'AbstractMonitoringFeature', a class not present in this model.</t>
  </si>
  <si>
    <t>Define ObservingCapability, Hierarchy, NetworkFacility and AnyDomainLink normatively (with Requirements Classes), or replace the references with concepts this document does define. Remove 'AbstractMonitoringFeature'.</t>
  </si>
  <si>
    <t>B-21</t>
  </si>
  <si>
    <t>10.1 vs 7.3.2-7.3.5</t>
  </si>
  <si>
    <t>1659 vs 1018, 1053, 1081, 1108</t>
  </si>
  <si>
    <t>Clause 10.1 states that identifier, name and geometry are inherited from the FeatureType stereotype and 'are not provided within this specification', but clauses 7.3.2-7.3.5 list 'id' and 'name' as attributes of MonitoringFacility, MonitoringNetwork, MonitoringProgramme and MonitoringActivity.</t>
  </si>
  <si>
    <t>Remove id/name from the clause 7.3 attribute lists, or state the inheritance explicitly there.</t>
  </si>
  <si>
    <t>B-22</t>
  </si>
  <si>
    <t>7.3.5 vs 10.4</t>
  </si>
  <si>
    <t>1118 vs 1721-1722</t>
  </si>
  <si>
    <t>MonitoringActivity has one association 'uses' in clause 7.3.5 and two, 'usesFacility' and 'usesNetwork', in clause 10.4.</t>
  </si>
  <si>
    <t>Reconcile; the normative form should be the single source.</t>
  </si>
  <si>
    <t>B-23</t>
  </si>
  <si>
    <t>7.3.2, 11.2.10, 11.6.1</t>
  </si>
  <si>
    <t>1032, 1861, 2101</t>
  </si>
  <si>
    <t>Four spellings of the same concept: attribute 'specialisedEMFType' (7.3.2), attribute 'specialisedMFType' (11.2.10), requirement identifier '/req/req-class-SpecialisedEMFTypeValue/...' and codelist class 'SpecialisedMFTypeValue' (11.6.1).</t>
  </si>
  <si>
    <t>Standardise on one name, in the attribute, the codelist and the requirement identifier.</t>
  </si>
  <si>
    <t>B-24</t>
  </si>
  <si>
    <t>11.6.5</t>
  </si>
  <si>
    <t>2149</t>
  </si>
  <si>
    <t>The ResultAcquisitionSourceValue definitions are wrong. 'inSitu: The FeatureOfInterest is a sampling feature which is co-located with the ultimate FeatureOfInterest' and 'remote: The FeatureOfInterest is a sampling feature which is also the ultimate FeatureOfInterest' - the definition given for 'remote' describes identity with the ultimate FoI, i.e. in-situ observation, and says nothing about remote sensing. 'subsumed: The value is inherited from children' relies on a parent/child relationship that is not normatively defined for this property.</t>
  </si>
  <si>
    <t>Correct the inSitu and remote definitions against ISO 19156:2023 and the INSPIRE EF source, and either define the inheritance semantics of 'subsumed' or remove the value.</t>
  </si>
  <si>
    <t>B-25</t>
  </si>
  <si>
    <t>7.1.8 vs 8.8</t>
  </si>
  <si>
    <t>819 vs 1267-1297</t>
  </si>
  <si>
    <t>Clause 7.1.8 asserts that ObservationCharacteristics has 'all of the attributes and associations as Observation, but none of the cardinality limitations (all attributes and associations have cardinality 0..*)'. Clause 8.8 does not carry Observation's unit-of-measure requirement (8.2 Req 28) or its featureOfInterest constraint (Req 15), and nowhere states the 0..* relaxation normatively.</t>
  </si>
  <si>
    <t>Align the two clauses, and state the cardinality relaxation as a requirement rather than only in informative prose.</t>
  </si>
  <si>
    <t>B-26</t>
  </si>
  <si>
    <t>8, 9, 10, 11 (all)</t>
  </si>
  <si>
    <t>1121-2161</t>
  </si>
  <si>
    <t>No multiplicities are given for any property, apart from a handful of '-card' requirements on Observation. The stated purpose of OMS-L is to give implementers a directly usable model with 'all necessary associations', but without multiplicities the model cannot be implemented consistently or derived to an encoding.</t>
  </si>
  <si>
    <t>Add a property table per class - name, type, multiplicity, definition, and OMS provenance - alongside each Requirements Class. This also resolves B-17 and B-25.</t>
  </si>
  <si>
    <t>B-27</t>
  </si>
  <si>
    <t>1, 2, front matter</t>
  </si>
  <si>
    <t>363-379, 15, 34</t>
  </si>
  <si>
    <t>The nature of the deliverable is described three different ways: clause 1 'a logical model and related abstract schema', clause 2 'an abstract logical transposition', Category 'OGC(R) Specification', Document type 'OGC(R) &lt;Standard&gt;'. Clause 1 also states no conformance consequence, and 'Logical Model' - used as the Target type of all 70 Requirements Classes - is never defined.</t>
  </si>
  <si>
    <t>Align the wording, and define 'Logical Model' as a standardization target type in clause 4 or 5.</t>
  </si>
  <si>
    <t>C-01</t>
  </si>
  <si>
    <t>3</t>
  </si>
  <si>
    <t>385-393</t>
  </si>
  <si>
    <t>Withdrawn normative references. ISO 19103:2015 was withdrawn 2024-09-27 and superseded by ISO 19103:2024 - which matters because every Requirements Class depends on its 'UML2 conformance class' and 'CoreTypes conformance class', and the 2024 edition changed the UML conformance structure. ISO 19123:2005 is withdrawn, replaced by ISO 19123-1:2023. ISO 19107:2019 is listed but never cited in the text.</t>
  </si>
  <si>
    <t>Update to ISO 19103:2024 and ISO 19123-1:2023 and re-verify the named conformance classes against the 2024 edition of ISO 19103; cite ISO 19107 in the text or remove it. Verified against iso.org.</t>
  </si>
  <si>
    <t>C-02</t>
  </si>
  <si>
    <t>393</t>
  </si>
  <si>
    <t>The ISO 19156 entry has the wrong title and a stray space: 'ISO 19156: 2023, Geographic information - Observation, measurements and Samples'. The official title is 'Geographic information - Observations, measurements and samples'.</t>
  </si>
  <si>
    <t>Correct to 'ISO 19156:2023, Geographic information - Observations, measurements and samples'.</t>
  </si>
  <si>
    <t>C-03</t>
  </si>
  <si>
    <t>389</t>
  </si>
  <si>
    <t>ISO 19108:2002 is current but should be cited with its technical corrigendum.</t>
  </si>
  <si>
    <t>Cite 'ISO 19108:2002, Geographic information - Temporal schema' and 'ISO 19108:2002/Cor 1:2006'.</t>
  </si>
  <si>
    <t>C-04</t>
  </si>
  <si>
    <t>3 vs 4, 5.2</t>
  </si>
  <si>
    <t>385-393, 627-629</t>
  </si>
  <si>
    <t>Standards used normatively in the text are absent from clause 3: ISO 19109 (the FeatureType metaclass and the General Feature Model, clause 5.2 and 6.2), ISO 19136-1:2020 (the UML profile mandated in clause 5.2), ISO/IEC 19501 (the schema language mandated in clause 5.2), and ISO 19101-1, ISO 19101-2, ISO 19143, ISO 19116, ISO 9000, JCGM 200 used as definition sources.</t>
  </si>
  <si>
    <t>Move the normatively used standards into clause 3 and the definition-source-only ones into clause 3 or a Bibliography, per ISO/IEC Directives Part 2.</t>
  </si>
  <si>
    <t>C-05</t>
  </si>
  <si>
    <t>5.2</t>
  </si>
  <si>
    <t>627-629</t>
  </si>
  <si>
    <t>Clause 5.2 mandates UML per ISO/IEC 19501, i.e. UML 1.4.2. ISO/IEC 19501:2005 is formally still published but technically obsolete, and ISO 19103:2024 no longer carries UML 1.x conformance - so the schema-language statement and the ISO 19103 dependency of every Requirements Class are mutually inconsistent. The clause also contains a bracketed citation '[2]' pointing to a numbered reference list that does not exist in this document.</t>
  </si>
  <si>
    <t>Cite UML 2.5.1 via ISO 19103:2024, and replace '[2]' with a proper reference to ISO 19109.</t>
  </si>
  <si>
    <t>C-06</t>
  </si>
  <si>
    <t>4 (multiple entries)</t>
  </si>
  <si>
    <t>499, 513, 561, 589, 519, 525</t>
  </si>
  <si>
    <t>Withdrawn or inconsistent editions inside Terms and definitions: 'observation result' cites ISO 19156:2011 while clause 3 cites the 2023 edition; ISO 19116 is cited at two editions in one clause - 2025 for positional accuracy and 2019 (withdrawn) for unit of measure; ISO 9000:2015 (procedure, process) was withdrawn 2026-05-27, superseded by ISO 9000:2026 whose title changed to 'Quality management - Fundamentals and vocabulary'; 'coverage' and 'range' cite ISO/DIS 19123-1, a draft, which has been published as ISO 19123-1:2023.</t>
  </si>
  <si>
    <t>Update all four: ISO 19156:2023, ISO 19116:2025 (both entries), ISO 9000:2026, ISO 19123-1:2023. A draft must not be cited as a definition source in a Standard. Verified against iso.org.</t>
  </si>
  <si>
    <t>C-07</t>
  </si>
  <si>
    <t>4 ('feature')</t>
  </si>
  <si>
    <t>449-455</t>
  </si>
  <si>
    <t>The definition of 'feature' is corrupted: 'ion of real-world phenomena'. The word 'abstract' has been lost.</t>
  </si>
  <si>
    <t>Restore 'abstraction of real-world phenomena'.</t>
  </si>
  <si>
    <t>C-08</t>
  </si>
  <si>
    <t>4</t>
  </si>
  <si>
    <t>431-435, 457-463, 563-569, 491-505, 549-553, 577-581</t>
  </si>
  <si>
    <t>Terms that ISO 19156:2023 already defines are redefined here with no SOURCE: observation, observer, sample, sampler, feature-of-interest, proximate feature-of-interest, ultimate feature-of-interest, feature type, domain feature.</t>
  </si>
  <si>
    <t>Add '[SOURCE: ISO 19156:2023, x.y]' to each, with 'modified -' where the wording genuinely differs. Undocumented redefinition of OMS terms is the main mechanism by which OMS-L would drift from OMS.</t>
  </si>
  <si>
    <t>C-09</t>
  </si>
  <si>
    <t>4 ('property type')</t>
  </si>
  <si>
    <t>547</t>
  </si>
  <si>
    <t>Convert to a formal '[SOURCE: ISO 19109:2025, x.y, modified - ...]'. Note ISO 19109:2015 was withdrawn 2025-07-08; the 2025 edition is also retitled 'General feature model and rules for application schema'.</t>
  </si>
  <si>
    <t>C-10</t>
  </si>
  <si>
    <t>4 (in situ / ex situ)</t>
  </si>
  <si>
    <t>437-447, 465-475</t>
  </si>
  <si>
    <t>The in situ / ex situ notes use a rectal-thermometer example, and conflate two orthogonal axes: in situ vs ex situ, and direct vs remote.</t>
  </si>
  <si>
    <t>Replace with a domain-neutral example and separate the two axes explicitly - this also bears on the ResultAcquisitionSourceValue defect (B-24).</t>
  </si>
  <si>
    <t>C-11</t>
  </si>
  <si>
    <t>4 lead-in</t>
  </si>
  <si>
    <t>397</t>
  </si>
  <si>
    <t>'This document uses the terms defined in...'.</t>
  </si>
  <si>
    <t>C-12</t>
  </si>
  <si>
    <t>5.1</t>
  </si>
  <si>
    <t>607-623</t>
  </si>
  <si>
    <t>The abbreviations table is incomplete in both directions: OMS-L, EF, WMO, WIGOS, WMDR, TSML, FoI, UoM are used in the text but not listed; EO, SOS, SWE, SensorML, 2-D and 3-D are listed but never used. The table also has an empty header row and no caption or number.</t>
  </si>
  <si>
    <t>Add the missing entries, remove the unused ones, and add a numbered caption.</t>
  </si>
  <si>
    <t>D-01</t>
  </si>
  <si>
    <t>All figures</t>
  </si>
  <si>
    <t>693, 1129, 1133, 1376, 1382, 1670, 1676, 1754, 1758</t>
  </si>
  <si>
    <t>All nine figure captions read 'Figure : &lt;title&gt;' with an empty number field, while the body text references Figure 1 through Figure 9. No cross-reference resolves.</t>
  </si>
  <si>
    <t>Regenerate the caption fields and cross-references.</t>
  </si>
  <si>
    <t>D-02</t>
  </si>
  <si>
    <t>6.1</t>
  </si>
  <si>
    <t>659-661</t>
  </si>
  <si>
    <t>The Enterprise Architect example diagram in clause 6.1 has no caption at all, so the numbering of every subsequent figure is ambiguous.</t>
  </si>
  <si>
    <t>Add a numbered caption.</t>
  </si>
  <si>
    <t>D-03</t>
  </si>
  <si>
    <t>8.1, 9.1, 11.1</t>
  </si>
  <si>
    <t>1127, 1376-1382, 1756</t>
  </si>
  <si>
    <t>Captions and images are misplaced. In clause 9.1 'Figure : Core Sampling Schema' appears before its image; in clauses 8.1 and 11.1 an image runs into the following sentence on the same line ('![](...)In Figure 3 we see...', '![](...)When utilizing the Monitoring Extensions...').</t>
  </si>
  <si>
    <t>Place each image before its caption and separate images from body text.</t>
  </si>
  <si>
    <t>D-04</t>
  </si>
  <si>
    <t>All tables</t>
  </si>
  <si>
    <t>356, 607, 1141+</t>
  </si>
  <si>
    <t>No table in the document is numbered or captioned, including the submitters table, the abbreviations table and all 137 requirements and conformance class tables.</t>
  </si>
  <si>
    <t>Add numbered captions, at least to the non-requirement tables, per the OGC template.</t>
  </si>
  <si>
    <t>D-05</t>
  </si>
  <si>
    <t>Contents</t>
  </si>
  <si>
    <t>60-324</t>
  </si>
  <si>
    <t>The table of contents is stale: the titles of clauses 8-11 omit '(normative)' as it appears in the body, the Annex entries do not match the body headings, and the page numbers reflect an earlier layout.</t>
  </si>
  <si>
    <t>Regenerate after the Annex restructure (B-01).</t>
  </si>
  <si>
    <t>D-06</t>
  </si>
  <si>
    <t>Front matter (External identifier)</t>
  </si>
  <si>
    <t>9</t>
  </si>
  <si>
    <t>The external identifier is a broken template: the visible text is 'http://www.opengis.net/doc/[{doc-type/}]{standard}/26-019' but the hyperlink target is 'http://www.opengis.net/def/[{doc-type/}]{standard}/{m.n}' (percent-encoded) - 'doc' versus 'def', and neither placeholder is filled.</t>
  </si>
  <si>
    <t>Replace with the actual document URI.</t>
  </si>
  <si>
    <t>D-07</t>
  </si>
  <si>
    <t>Keywords / Preface</t>
  </si>
  <si>
    <t>330</t>
  </si>
  <si>
    <t>The keywords line has swallowed the following heading: '...Samples, Monitoring Preface'. The 'Preface' heading has been lost.</t>
  </si>
  <si>
    <t>Restore the Preface heading.</t>
  </si>
  <si>
    <t>D-08</t>
  </si>
  <si>
    <t>Various</t>
  </si>
  <si>
    <t>367, 899, 1112, 1672, 1820/1943/2067, 661, 675</t>
  </si>
  <si>
    <t>Typographical defects: 'Th OMS Logical Model' (1); 'The size attribute provides describes a physical extent' (7.2.4); 'EnvironmentaMonitoringActivity' (7.3.5); 'how OMS:ObservingCapability is utilizes by' (10.1); 'was createdis provided' x3 (11.2.6, 11.3.5, 11.5.5); 'showing the associations between the interfaces This adds' - missing full stop (6.1); 'not modelled within this standard' - missing full stop (6.2); 'an MonitoringFacility' / 'an MonitoringProgramme' / 'an MonitoringActivity' in several requirements.</t>
  </si>
  <si>
    <t>Editorial pass.</t>
  </si>
  <si>
    <t>D-09</t>
  </si>
  <si>
    <t>11.2.11</t>
  </si>
  <si>
    <t>1871</t>
  </si>
  <si>
    <t>'Geometry and representativePoint SHALL NOT both be empty' uses upper-case SHALL NOT, whereas the rest of the document uses lower-case 'shall' per Policy Directive 49.</t>
  </si>
  <si>
    <t>Use lower case.</t>
  </si>
  <si>
    <t>D-10</t>
  </si>
  <si>
    <t>Throughout</t>
  </si>
  <si>
    <t>British and US spelling are mixed, including between a model element and its own description: attribute 'organisationLevel' against prose 'organizational grouping'; 'specialised' against 'specialized'; 'utilisation' against 'utilization'.</t>
  </si>
  <si>
    <t>Choose one convention for prose; keep model element names exactly as they are in the UML and note the convention in clause 5.3.</t>
  </si>
  <si>
    <t>D-11</t>
  </si>
  <si>
    <t>7.3.2 note</t>
  </si>
  <si>
    <t>1014</t>
  </si>
  <si>
    <t>'Laboratories are not EnvironmentalMonitoringFacilities' uses a class name that does not exist in this model (the class is MonitoringFacility). Seven further occurrences of 'EnvironmentalMonitoringFacilities' / 'EnvironmentalMonitoringActivity' appear in clauses 7.3 and 10, including inside normative requirements (10.3 Req 1, 10.4 Req 3, 10.5 Req 5).</t>
  </si>
  <si>
    <t>Replace all occurrences with the class names defined in this document.</t>
  </si>
  <si>
    <t>E-01</t>
  </si>
  <si>
    <t>Footnote 1 (clause 2)</t>
  </si>
  <si>
    <t>377, 2919</t>
  </si>
  <si>
    <t>Broken: http://www.opengeospatial.org/cite - cited as 'the OGC Compliance Testing web site' - returns no content. The link is also given as bare text rather than a resolvable URI.</t>
  </si>
  <si>
    <t>Replace with https://www.ogc.org/compliance/ (programme) and/or https://cite.ogc.org/ (test engine). Checked 2026-08-24.</t>
  </si>
  <si>
    <t>E-02</t>
  </si>
  <si>
    <t>Footnote 2 (clause 4)</t>
  </si>
  <si>
    <t>397, 2920</t>
  </si>
  <si>
    <t>Unreliable: https://portal.ogc.org/public_ogc/directives/directives.php (Policy Directive 49) did not respond on repeated attempts. It is a legacy portal PHP endpoint, not a stable citation target.</t>
  </si>
  <si>
    <t>Cite the stable published policy on docs.ogc.org (e.g. https://docs.ogc.org/pol/) or https://www.ogc.org/about/policies/. Checked 2026-08-24.</t>
  </si>
  <si>
    <t>E-03</t>
  </si>
  <si>
    <t>Copyright notice</t>
  </si>
  <si>
    <t>28</t>
  </si>
  <si>
    <t>http://www.opengeospatial.org/legal/ resolves but 301-redirects to https://www.ogc.org/about/legal-notices-term-and-conditions/, and uses the retired domain over http.</t>
  </si>
  <si>
    <t>Update to the https ogc.org URL. Checked 2026-08-24 - redirect works today.</t>
  </si>
  <si>
    <t>E-04</t>
  </si>
  <si>
    <t>All req/conf URIs</t>
  </si>
  <si>
    <t>1144-2917</t>
  </si>
  <si>
    <t>None of the 227 distinct opengis.net URIs resolve, including the base http://www.opengis.net/spec/OMS-L/1.0. Expected for a draft, but the token must be registered before publication. All 227 also use http:// rather than https://.</t>
  </si>
  <si>
    <t>Register 'OMS-L' with the OGC Naming Authority and switch every URI to https://. Checked 2026-08-24.</t>
  </si>
  <si>
    <t>E-05</t>
  </si>
  <si>
    <t>Throughout the requirement tables</t>
  </si>
  <si>
    <t>1144+</t>
  </si>
  <si>
    <t>The Word-to-Markdown conversion shows bold markers inside 271 of the 272 URI occurrences (e.g. '.../req-class-Observation**'). If the same character-level formatting is present in the source .docx, the hyperlinks and any automated URI extraction will be corrupted.</t>
  </si>
  <si>
    <t>Verify in the source document that no formatting run boundary falls inside a URI.</t>
  </si>
  <si>
    <t>E-06</t>
  </si>
  <si>
    <t>Footnote 3, Footnote 4</t>
  </si>
  <si>
    <t>2921-2922</t>
  </si>
  <si>
    <t>Working: https://knowledge-base.inspire.ec.europa.eu/index_en (INSPIRE Knowledge Base) and https://eur-lex.europa.eu/eli/dir/2007/2/oj/eng (Directive 2007/2/EC, INSPIRE). Both resolve and point at the right resources.</t>
  </si>
  <si>
    <t>No change. Checked 2026-08-24.</t>
  </si>
  <si>
    <t>This document used the terms defined in Policy Directive 49' - wrong tense.</t>
  </si>
  <si>
    <t>Note 3 to entry: Adapted from ISO 19109:2005' is an informal attribution and is inconsistent with the ISO 19109 edition cited elsewhere.</t>
  </si>
  <si>
    <t>When 19156 is revised, we must first reflect if we maintain the 3-tiered model. If so, OMS logical must be done in parallel.</t>
  </si>
  <si>
    <t>Hmm… is this because I forgot 19109, or because Claude doesn't like OGC Feature Model?</t>
  </si>
  <si>
    <t>No dependencies between these independent reqs, so no profiles currently required (can be done by communities as required)</t>
  </si>
  <si>
    <t>Clause 2 (Conformance) is directly from the template. Never seen a req class here!</t>
  </si>
  <si>
    <t>Codelists</t>
  </si>
  <si>
    <t>Need to be instantiated for OMS, should be more cleanly modeled in OMS-L</t>
  </si>
  <si>
    <t>Due to issues with OGC rainbow, missing also under OMS. Note under ToDo</t>
  </si>
  <si>
    <t>Happy to align with any URI policy!</t>
  </si>
  <si>
    <t>Check req URI Policy</t>
  </si>
  <si>
    <t>Would provide all diagrams as SVG for the final version. As for links to XMI, seems like support for the SparxCloud activity</t>
  </si>
  <si>
    <t>Happy to define as different doc type, as long as one can still derive further standards from it. To my view reason OMS-L must also be a standard. Updates should be aligned with OMS, whereby the entire structure should be reflected upon when reworked</t>
  </si>
  <si>
    <t>It is a very valid placeholder! Security considerations don't make sense for a conceptual model, security functionally is an addition</t>
  </si>
  <si>
    <t>Dates pending approval. Bibliography etc not necessary (all under 3 References)</t>
  </si>
  <si>
    <t>All examples and notes from the OMS standard have been integrated in this clause for better understanding.
Divergences must be addressed (in comments below)</t>
  </si>
  <si>
    <t>This is a discussion point. According to the template no headings. Added for editing sanity, can either formalize or remove</t>
  </si>
  <si>
    <t>These are codelists</t>
  </si>
  <si>
    <t>Not quite sure how to deal with these attribute level req classes. Any guidance?</t>
  </si>
  <si>
    <t>Confirming canibalization from OMS! Fixed</t>
  </si>
  <si>
    <t>Relict of merge, fixed</t>
  </si>
  <si>
    <t>Template issue</t>
  </si>
  <si>
    <t>Blank space got copied in by mistake, fixed</t>
  </si>
  <si>
    <t>Gotta learn to count! Fixed</t>
  </si>
  <si>
    <t>Fixed, 2nd is constraint</t>
  </si>
  <si>
    <t>Same issue in OMS. Should we add the 3 missing (trivial) bullets, or keep aligned?</t>
  </si>
  <si>
    <t>First defines the attribute, 2nd applies constraints. All taken 1:1 from OMS</t>
  </si>
  <si>
    <t>These are taken 1:1 from OMS. While it would make sense to add more explicit tests, it would diverge from OMS</t>
  </si>
  <si>
    <t>Comes 1:1 from the levels of OMS</t>
  </si>
  <si>
    <t>Misunderstanding the usage of the term "role" to mean the name of the target of the association. Domain and Range are the names of the 2 associations (relict from O&amp;M)</t>
  </si>
  <si>
    <t>Done</t>
  </si>
  <si>
    <t>Updated!</t>
  </si>
  <si>
    <t xml:space="preserve">Fixed </t>
  </si>
  <si>
    <t>Fixed</t>
  </si>
  <si>
    <t>Added Observing Capability; fixed mention of AbstractMonitoringFeature. ToDo: add the association classes Hierarchy, NetworkFacility and AnyDomainLink</t>
  </si>
  <si>
    <t>add the association classes Hierarchy, NetworkFacility and AnyDomainLink</t>
  </si>
  <si>
    <t>Now Claude is confused, that text has long been in "6.2	Working with FeatureTypes", not 10.1. Did remove the extraneous attributes from Monitoring classes</t>
  </si>
  <si>
    <t>Fixed (due to dropping Environmental from Environmental Monitoring Facilities)</t>
  </si>
  <si>
    <t>https://github.com/opengeospatial/om-swg/issues/237</t>
  </si>
  <si>
    <t>Align OMS &amp; EF in/ex situ definitions</t>
  </si>
  <si>
    <t>Todo: Align OMS &amp; EF in/ex situ definitions</t>
  </si>
  <si>
    <t>ToDo: sort cardinality reqs</t>
  </si>
  <si>
    <t>https://github.com/opengeospatial/om-swg/issues/238</t>
  </si>
  <si>
    <t>Due to relaxed cardinality, neither UoM nor FoI are mandatory, thus the constraints available under Observation are not provided</t>
  </si>
  <si>
    <t>But not at the time of drafting OMS, 19156:2023</t>
  </si>
  <si>
    <t>Aligned with OMS</t>
  </si>
  <si>
    <t>Added 19109 &amp; 19136, should I add the rest of the recommendation?</t>
  </si>
  <si>
    <t>Added source reference to 19156</t>
  </si>
  <si>
    <t>Definition from OMS, adding direct vs. Remote intentional</t>
  </si>
  <si>
    <t>Fix OGC Boilerplate!</t>
  </si>
  <si>
    <t>Works for me - made a table of figures, all with text</t>
  </si>
  <si>
    <t>Added</t>
  </si>
  <si>
    <t>Needs to be transposed to ASCII-Doc anyway</t>
  </si>
  <si>
    <t>Not in template, nor would it make much sense</t>
  </si>
  <si>
    <t>As OGC Template is US spelling, adjusted accordingly</t>
  </si>
  <si>
    <t>From template, what to use?</t>
  </si>
  <si>
    <t>Fixed cover page</t>
  </si>
  <si>
    <t>Disposition</t>
  </si>
  <si>
    <t>Holds</t>
  </si>
  <si>
    <t>Withdrawn</t>
  </si>
  <si>
    <t>Inherited - confirmed</t>
  </si>
  <si>
    <t>Verify</t>
  </si>
  <si>
    <t>Holds / verify</t>
  </si>
  <si>
    <t>Holds / artefact?</t>
  </si>
  <si>
    <t>Inherited?</t>
  </si>
  <si>
    <t>New material</t>
  </si>
  <si>
    <t>Revised severity</t>
  </si>
  <si>
    <t>Response to author questions</t>
  </si>
  <si>
    <t>Downgraded from Blocking. Holds as a document-level issue: OMS-L makes a compliance claim a reader cannot verify. Given the authors' stated goal, the fix is lighter than I proposed - publish the OMS -&gt; OMS-L mapping the SWG already worked from, as a normative annex. No design change implied. The class-level mapping is now in the fidelity review, section 3, and could be lifted straight into the document as the normative annex this comment asks for.</t>
  </si>
  <si>
    <t>WITHDRAWN as written. I argued against restating OMS semantics; if the goal is a faithful transposition, verbatim restatement is the method, not a defect. Replaced by: state the transposition policy explicitly in the document (verbatim reproduction, defects inherited deliberately, no editorial improvement) and record how re-alignment on the next ISO 19156 revision will be handled. The risk is governance, not modelling. The replacement is largely covered by A-09, hence Minor here.</t>
  </si>
  <si>
    <t>Downgraded from Blocking. ISO 19156 itself uses the GML FeatureType stereotype and the ISO 19136-1 Annex E profile, so this is almost certainly inherited and out of scope for a clean transposition. Log for a future OMS corrigendum. Authors to confirm. CONFIRMED INHERITED: OMS uses the same GML FeatureType stereotype and ISO 19136-1 Annex E profile. Out of scope for a faithful transposition; log for an OMS corrigendum.  ||  [IS CHECK 31 Aug, vs ISO/TC211 N5820 = published ISO 19156] CONFIRMED against the published IS clause 4.2.</t>
  </si>
  <si>
    <t>Holds. Clause 11 granularity is OMS-L's own design choice, not transposed - and it is the direct cause of B-02 and B-05. ROOT CAUSE IDENTIFIED - see F-13. OMS expresses layering through 'Imports' rows on each requirements class; OMS-L dropped both 'Name' and 'Imports' rows with nothing in their place, so the dependency graph is gone.</t>
  </si>
  <si>
    <t>Split. The internal half holds and stays Blocking: clause 2 requires conformance to be checked using 'all the relevant tests specified in Annex A', and no Annex A exists under that name (see B-01). The 'OGC policy requires a requirements-class table' half is a template claim I could not verify - check against OGC 05-020r29 and the current template. TEMPLATE CLAIM NOW GROUNDED IN OMS RATHER THAN POLICY: ISO/DIS 19156 clause 5.2 contains a full conformance table mapping each conformance class name to its URI and Annex A subclause (e.g. 'Basic Observations - ObservingCapability | /conf/obs-basic/ObservingCapability | A.3.10'). The document being transposed from does this properly.</t>
  </si>
  <si>
    <t>The register/governance question stands but is policy, not a document defect I can assert. ObservationTypeByResultType is OMS material; the EF codelists are OMS-L's own. Check against current OGC practice for codelist publication. WEAKENED. See F-12: the apparent contradiction is a by-product of the fold. OMS pairs an abstract codelist (the empty extension point) with a concrete realization (the enumerated values); OMS-L merged the pairs and kept both texts. Tidy-up, not a defect.</t>
  </si>
  <si>
    <t>Holds in full. Unfilled URI template in 5.4, Version 0.0.1 against /1.0/ in every URI, and an unregistered OMS-L token are all verifiable from the document and independent of every question raised.</t>
  </si>
  <si>
    <t>Downgraded from Major to a process note. Reasonable to expect at publication, not at draft; and not a defect in the text.</t>
  </si>
  <si>
    <t>Holds, and is now the most useful comment on the sheet. The authors' own answer - a clean transposition of OMS, warts and boils included, because a corrigendum is out of budget - is exactly what should be written into the Preface or clause 1. It is currently nowhere in the document, which is why reviewers reach for design objections.</t>
  </si>
  <si>
    <t>Template claim. I believe the current OGC template expects a substantive clause, but I could not cite it. Verify.</t>
  </si>
  <si>
    <t>The unresolved placeholders ('&lt;yyyy-mm-dd&gt;', 'if applicable', '&lt;Standard &gt;') hold and are trivially verifiable. The 'missing mandatory front/back matter' half is a template claim - verify. Note the document is on the older Word template rather than the current Metanorma one; if that is deliberate, say so.</t>
  </si>
  <si>
    <t>Holds, but note the divergence may itself be inherited if clause 7 transposes OMS informative text and clauses 8-11 transpose OMS normative text. Either way OMS-L now carries both and they disagree.</t>
  </si>
  <si>
    <t>Holds in full. Internal structural defect, independent of provenance. NOW GROUNDED IN OMS: ISO/DIS 19156 has 'Annex A (normative) Abstract Test Suite' with A.1, A.1.1, A.1.4, A.2, A.3 subclauses. OMS-L's flat run of heading-1s is a regression against the pattern it was transposing.</t>
  </si>
  <si>
    <t>Holds in full. 22 dangling conformance classes; verifiable by URI comparison within the document. This is the single most important comment on the sheet.</t>
  </si>
  <si>
    <t>Holds in full.</t>
  </si>
  <si>
    <t>Holds in full. No requirement in clause 11 is addressable from its own class.</t>
  </si>
  <si>
    <t>Holds - and is direct evidence supporting the authors' account of the method: '/req/obs-cpt/' and '/req/obs-basic/' are OMS identifiers copied unchanged. They still have to be renamed into the OMS-L namespace. CONFIRMED INHERITED. ISO/DIS 19156 9.2.1 and 10.4.1 show OMS reusing identifiers across layers, including '/req/obs-cpt/gen/relatedObservation-sem'. This is fingerprint evidence for the stated transposition method. Still needs renaming into the OMS-L namespace, hence retained at Minor.  ||  [IS CHECK 31 Aug, vs ISO/TC211 N5820 = published ISO 19156] CONFIRMED against the published IS 9.2.1 and 9.9.1 - identifier reuse across layers is OMS's own practice. Renaming task only.</t>
  </si>
  <si>
    <t>Holds in full. CONFIRMED INHERITED. ISO/DIS 19156 9.2.1 shows AbstractObservationCharacteristics holding parameter-procedure, parameter-redundant and uFoI; OMS-L folded that class into both Observation and ObservationCharacteristics and carried the identifiers. Renaming task only.  ||  [IS CHECK 31 Aug, vs ISO/TC211 N5820 = published ISO 19156] CONFIRMED against the published IS 9.2.1.</t>
  </si>
  <si>
    <t>Holds, but may be a docx-&gt;Markdown conversion artefact rather than a source defect - verify that the class name is inside the URI in the source.</t>
  </si>
  <si>
    <t>Possibly inherited from OMS. Authors to confirm; trivial to fix either way. CONFIRMED AS OMS-L's OWN SLIP, not inherited: ISO/DIS 19156 10.12.3 names the second requirement 'ObservationTypeByResultType-con'. OMS-L labelled both '-sem'.  ||  [IS CHECK 31 Aug, vs ISO/TC211 N5820 = published ISO 19156] CONFIRMED as OMS-L's own slip: the published IS names it ObservationTypeByResultType-con at 10.12.2.</t>
  </si>
  <si>
    <t>Very likely verbatim from OMS. If so, out of scope for the transposition - but worth a note in the document that three codelist values carry no result-type constraint, since implementers will hit it. CONFIRMED INHERITED against ISO/DIS 19156 10.12.3: OMS omits the same three values (discrete-coverage-observation, discrete-point-coverage, timeseries-observation) from its -con requirement. Withdrawn as a finding against 26-019; log for an OMS corrigendum.  ||  [IS CHECK 31 Aug, vs ISO/TC211 N5820 = published ISO 19156] CONFIRMED against the published IS 10.12.2 - the same 7 of 10 values are constrained.</t>
  </si>
  <si>
    <t>Possibly inherited. Confirm.</t>
  </si>
  <si>
    <t>LARGELY WITHDRAWN. 'Inspect the documentation of the application schema or profile' is the standard abstract-test-suite form for a conceptual model (ISO 19105 style), and is what ISO 19156 itself does. My criticism was calibrated to an implementation standard. What survives, as Minor: a single test covering a 30-requirement class gives the tester no way to report partial conformance.</t>
  </si>
  <si>
    <t>Likely inherited from the OMS requirements text. Confirm. The TM_Object / TM_Instant conflict on resultTime is worth resolving even in a faithful transposition, or footnoting as a known OMS defect. CONFIRMED INHERITED against ISO/DIS 19156 8.2.3, 8.2.4 and 9.3.3: OMS carries all three statements verbatim - '-sem' conditional, '-card' exactly 1, and 'resultTime-type' SHALL be TM_Instant. Withdrawn as a finding against 26-019.  ||  [IS CHECK 31 Aug, vs ISO/TC211 N5820 = published ISO 19156] CONFIRMED against the published IS 8.2.3, 8.2.4 and 9.3.3 - all three statements present.</t>
  </si>
  <si>
    <t>The 'procedure' vs 'observingProcedure' role name is plausibly an OMS artefact across model layers. Confirm. The undefined 'Domain' and 'Range' association names are a genuine OMS-L reader problem regardless (see B-20). FIRST HALF CONFIRMED INHERITED against ISO/DIS 19156 8.2.14, which reads 'The ObservableProperty referenced by procedure SHOULD be suitable'. Second half resolved: 'Domain' and 'Range' are association names visible in Figures 2 and 3, so they are in the model - only undocumented in the text. Downgraded.  ||  [IS CHECK 31 Aug, vs ISO/TC211 N5820 = published ISO 19156] FIRST HALF CONFIRMED against the published IS 9.3.8 ('The ObservingProcedure referenced by procedure shall be suitable'). SECOND HALF RESOLVED: Domain, DomainProxy and Range are association names in IS Figure 10, so they are genuine model elements - merely undocumented in the OMS-L text.</t>
  </si>
  <si>
    <t>The missing property types half holds and applies to new material in clause 11. The attribute-described-as-association wording is also OMS-L's own. Note some of this may be resolved by the diagrams, which I could not see.</t>
  </si>
  <si>
    <t>Holds - clear copy-paste defect in new clause 11 material.</t>
  </si>
  <si>
    <t>SpatialSample is OMS Basic material; possibly inherited. Confirm. CONFIRMED INHERITED against ISO/DIS 19156 13.3.5, which likewise reads 'If horizontal positional accuracy information ... the attribute verticalPositionalAccuracy:Any SHALL be used'. Withdrawn as a finding against 26-019.  ||  [IS CHECK 31 Aug, vs ISO/TC211 N5820 = published ISO 19156] CONFIRMED against the published IS 13.3.5, which still reads 'If horizontal positional accuracy information ... the attribute verticalPositionalAccuracy:Any shall be used'. Not fixed in the DIS ballot.</t>
  </si>
  <si>
    <t>Holds in full, and reframed. Whatever the provenance of ObservingCapability, Hierarchy, NetworkFacility and AnyDomainLink, a reader of OMS-L alone cannot resolve them: they carry normative obligations in 25 statements with no definition and no normative reference to where they are defined. Either define them here or reference their source normatively. CONFIRMED AND LOCATED. ObservingCapability is ISO/DIS 19156 10.5, a full Basic Observations class with /req/obs-basic/ObservingCapability and /conf/obs-basic/ObservingCapability (Annex A.3.10). OMS-L omits it from the fold yet relies on it in 10.1, 10.2 Req 4, 10.3 Req 3 and 10.5 Req 2. Hierarchy/NetworkFacility/AnyDomainLink have zero occurrences in OMS - INSPIRE EF, new material. See F-03.</t>
  </si>
  <si>
    <t>Downgraded from Blocking. Almost certainly verbatim from INSPIRE EF. Substantively wrong either way - the definition given for 'remote' describes in-situ identity - so even under a faithful-transposition policy this is a candidate for a footnote flagging the known defect. Authors to confirm provenance. CONFIRMED NOT INHERITED FROM OMS: 'ResultAcquisitionSource' has zero occurrences in ISO/DIS 19156. This is INSPIRE EF material, i.e. new content in this document, so the transposition defence does not cover it. The 'remote' definition still describes in-situ identity.</t>
  </si>
  <si>
    <t>Likely inherited from OMS Basic. Confirm.</t>
  </si>
  <si>
    <t>MATERIALLY REVISED, was Blocking. My error: all ten UML diagrams in the file I received were stripped to a 24-character placeholder, so I reviewed the prose only and could not see the multiplicities, which are presumably on the diagrams. What survives, as Major: the requirement statements do not restate the multiplicities, and clause 11 gives no property types either, so the normative prose is not self-sufficient. A property table per class (name, type, multiplicity, definition, OMS provenance) would close it - and would also close B-17 and B-25. SUBSTANTIALLY WITHDRAWN now the diagrams are available. Association multiplicities ARE present and complete throughout Figures 2-9; I was wrong. What remains, as Minor and restated in F-09: OMS states attribute multiplicities (deploymentReason [0..*], validTime [0..*], horizontalPositionalAccuracy [0..1]) and the OMS-L diagrams state none.</t>
  </si>
  <si>
    <t>The three-way inconsistency in how the deliverable describes itself holds. The undefined 'Logical Model' target type is worth defining since it is the Target type of all 70 requirements classes. PART WITHDRAWN: 'Target type: Logical model' is OMS's own term for its Abstract Core and Basic layers (ISO/DIS 19156 9.x, 10.x, 13.x), so it needs no definition here. The three-way inconsistency in how the deliverable describes itself still holds.</t>
  </si>
  <si>
    <t>Holds. A standard published in 2026 should not cite a withdrawn edition, even under a faithful-transposition policy - the transposition covers model content, not the reference list. The substantive part: every requirements class depends on ISO 19103:2015's 'UML2' and 'CoreTypes' conformance classes, and the 2024 edition restructured UML conformance. Those class names need re-verifying.  ||  [IS CHECK 31 Aug, vs ISO/TC211 N5820 = published ISO 19156] REFRAMED AND DOWNGRADED. ISO 19103:2015 is what the published IS cites, so OMS-L is faithful. But all 70 requirements classes inherit a dependency on that edition's 'UML2' and 'CoreTypes' conformance classes, and it was withdrawn in 2024. Updating means re-deriving the named conformance classes and diverging from OMS - a decision for the SWG, probably with an OAB view. ISO 19123:2005 is separate and simpler: the IS does not cite it at all, so that one is OMS-L's own and should become ISO 19123-1:2023.</t>
  </si>
  <si>
    <t>Holds. Title of ISO 19156 is wrong.</t>
  </si>
  <si>
    <t>Holds.</t>
  </si>
  <si>
    <t>Holds. ISO 19109, ISO 19136-1 and ISO/IEC 19501 are used normatively in clause 5.2 and absent from clause 3. CONFIRMED AS A REGRESSION AGAINST OMS. ISO/DIS 19156 clause 2 lists ISO 19103, 19107, 19108 and ISO 19109. OMS-L dropped ISO 19109 while continuing to use it normatively in 5.2 and 6.2. See F-11.  ||  [IS CHECK 31 Aug, vs ISO/TC211 N5820 = published ISO 19156] RECLASSIFIED AS INHERITED - see F-11. The published IS lists only ISO 19103, 19107 and 19108 in clause 2 while using ISO 19109 normatively. OMS-L is faithful.</t>
  </si>
  <si>
    <t>The ISO/IEC 19501 citation is likely inherited from OMS. The inconsistency it creates with the ISO 19103 dependency is real and worth resolving. The stray '[2]' pointing at a non-existent numbered reference list holds.</t>
  </si>
  <si>
    <t>Holds. Reference hygiene is OMS-L's own responsibility.</t>
  </si>
  <si>
    <t>Downgraded. 'ion of real-world phenomena' is very likely a docx-&gt;Markdown conversion artefact rather than a source defect - verify in the source before actioning. CONFIRMED IN THE SOURCE .docx, not a conversion artefact - I checked the document XML directly. ISO/DIS 19156 3.7 reads 'feature - abstraction of real-world phenomena'; 26-019 reads 'ion of real-world phenomena'.  ||  [IS CHECK 31 Aug, vs ISO/TC211 N5820 = published ISO 19156] CONFIRMED as OMS-L's own: IS 3.7 reads 'feature - abstraction of real-world phenomena'. Also note IS Note 1 reads 'A feature CAN occur', matching OMS-L - further evidence the IS was the source.</t>
  </si>
  <si>
    <t>If the terms are transposed verbatim, the fix is trivial and fully compatible with the transposition policy: add the '[SOURCE: ISO 19156:2023, x.y]' attributions. Worth doing, because undocumented redefinition is the main route by which OMS-L would silently drift from OMS. OMS itself defines these terms with no SOURCE, so OMS-L reproduced OMS practice. But OMS-L is REUSING definitions OMS originated, which is a different case: '[SOURCE: ISO 19156:2023, 3.x]' is the correct form and is fully compatible with the transposition policy. Downgraded, kept.  ||  [IS CHECK 31 Aug, vs ISO/TC211 N5820 = published ISO 19156] CONFIRMED against the published IS clause 3.</t>
  </si>
  <si>
    <t>Likely inherited. Confirm.  ||  [IS CHECK 31 Aug, vs ISO/TC211 N5820 = published ISO 19156] CONFIRMED INHERITED: 'Note 3 to entry: Adapted from ISO 19109:2005' is verbatim IS 3.20.</t>
  </si>
  <si>
    <t>Likely OMS text. Out of scope under the transposition policy.</t>
  </si>
  <si>
    <t>Word caption fields render empty in Markdown export. Very likely a conversion artefact - verify in the source before actioning. My error not to flag this. WITHDRAWN - CONFIRMED CONVERSION ARTEFACT. The source .docx numbers all nine captions correctly via SEQ fields ('Figure 1: OGC SensorThings API data model' etc.).</t>
  </si>
  <si>
    <t>Same - verify in the source. CONFIRMED IN THE SOURCE: nine captions for ten images; word/media/image1.png in clause 6.1 has none.</t>
  </si>
  <si>
    <t>Same - image/caption ordering and run-together text are typical Markdown export artefacts. Verify in the source. CONFIRMED IN THE SOURCE: Figure 2's caption precedes its image, and image5 sits inside the same paragraph as the body text 'In Figure 5 the additional classes...'. Only 5 of 10 images are inline, which is why the ordering reads as broken.</t>
  </si>
  <si>
    <t>Same, plus a template claim. Verify. CONFIRMED IN THE SOURCE: 139 tables, zero SEQ Table fields, zero caption paragraphs.</t>
  </si>
  <si>
    <t>The missing '(normative)' in the clause 8-11 TOC titles holds. Page numbers and Annex entries will regenerate anyway after B-01.</t>
  </si>
  <si>
    <t>Holds. The '/doc/' visible text against a '/def/' link target is in the link, not the rendering.</t>
  </si>
  <si>
    <t>Likely a conversion artefact. Verify in the source. CONFIRMED IN THE SOURCE: the text really does run '...Samples, Monitoring Preface The approved OGC...'.</t>
  </si>
  <si>
    <t>Holds - these are real: 'Th OMS', 'createdis' x3, 'provides describes', 'EnvironmentaMonitoringActivity', 'is utilizes by'. PARTIALLY CONFIRMED: 'Th OMS', 'provides describes' and 'EnvironmentaMonitoringActivity' are in the source. 'createdis' is a conversion artefact - zero occurrences in the .docx.</t>
  </si>
  <si>
    <t>Holds. ORIGIN NOW CLEAR: OMS uses uppercase SHALL/SHOULD throughout. OMS-L lowercased systematically and this single 'SHALL NOT' was missed. See F-14.</t>
  </si>
  <si>
    <t>Holds. 'EnvironmentalMonitoringFacilities' appears inside three normative requirements for a class this model names MonitoringFacility.</t>
  </si>
  <si>
    <t>Holds - tested 24 Aug 2026.</t>
  </si>
  <si>
    <t>Flagged as a possible conversion artefact in the original review. Verify in the source.</t>
  </si>
  <si>
    <t>No action.</t>
  </si>
  <si>
    <t>Four of the nine recommendations in ISO/DIS 19156 have become requirements in OMS-L, with the identifier prefix flipped from /rec/ to /req/ and SHOULD changed to shall: observerhost-con (OMS 8.2.12), observedProperty-con (8.2.13), observingProcedure-con (8.2.14) and result-con (8.2.15). The other five (uom-con, phenomenonTimeResult-con, parameter-procedure, parameter-redundant, uFoI) correctly remain recommendations, which suggests the change was accidental rather than policy. Three of the four are also unenforceable as requirements because they turn on 'suitable' and 'correspond to', which no conformance test can evaluate - which is presumably why OMS made them recommendations.  ||  [IS CHECK 31 Aug, vs ISO/TC211 N5820 = published ISO 19156] WITHDRAWN - MY ERROR. OMS promotes these four itself between layers: recommendations at the Conceptual layer (IS 8.2.12-8.2.15, /rec/obs-cpt/) reappear as REQUIREMENTS at the Abstract Core layer (IS 9.3.6-9.3.9, /req/obs-core/Observation/*-con, lowercase 'shall'). OMS-L flattened and took the Abstract Core form, so Req 18/21/24/27 are faithful. I had read only clause 8.2 and missed the promotion in 9.3.</t>
  </si>
  <si>
    <t>The OMS Procedure class (ISO/DIS 19156 8.4, parent of ObservingProcedure) was not folded into OMS-L, but OMS 11.4.4 was retained verbatim as Sampler Req 3: 'The Procedure implemented by the Sampler.' OMS-L therefore normatively references a class it does not define. OMS also had a conformance class for it, Annex A.1.8 'Conceptual Observation - Procedure', likewise dropped.  ||  [IS CHECK 31 Aug, vs ISO/TC211 N5820 = published ISO 19156] CONFIRMED against the published IS: Procedure is IS 8.4, and IS 11.4.4 reads 'The Procedure implemented by the Sampler' - retained verbatim as OMS-L Sampler Req 3.</t>
  </si>
  <si>
    <t>ObservingCapability is a full Basic Observations class in ISO/DIS 19156 10.5, with requirements class /req/obs-basic/ObservingCapability and conformance class /conf/obs-basic/ObservingCapability (Annex A.3.10). It was not folded into OMS-L, yet OMS-L relies on it normatively: clause 10.1 prose, and observingCapability requirements in 10.2 Req 4, 10.3 Req 3 and 10.5 Req 2.  ||  [IS CHECK 31 Aug, vs ISO/TC211 N5820 = published ISO 19156] CONFIRMED against the published IS: ObservingCapability is IS 10.5 with /req/obs-basic/ObservingCapability and /conf/obs-basic/ObservingCapability.</t>
  </si>
  <si>
    <t>The OMS GenericDomainFeature class (ISO/DIS 19156 10.11) was not folded into OMS-L, with no rationale given. A reader arriving from OMS will look for it.  ||  [IS CHECK 31 Aug, vs ISO/TC211 N5820 = published ISO 19156] CONFIRMED: GenericDomainFeature is IS 10.11, not folded.</t>
  </si>
  <si>
    <t>The Deployment class in Figures 2 and 3 shows attributes 'atPosition: Real' and 'positionUoM: CharacterString', neither of which appears anywhere in ISO/DIS 19156, and omits deploymentReason and deploymentTime, which OMS 9.8 defines (deploymentReason: CharacterString [0..*], deploymentTime: TM_Object [0..*]) and which OMS-L clause 8.7 Req 4 and Req 5 themselves require. So the diagram contradicts both OMS and OMS-L's own normative text. Separately, OMS types deploymentTime as TM_Object while OMS-L Req 5 narrows it to TM_Period.  ||  [IS CHECK 31 Aug, vs ISO/TC211 N5820 = published ISO 19156] MAIN FINDING FIRMER, SUB-POINT WITHDRAWN. atPosition and positionUoM have ZERO occurrences in the DIS and ZERO in the published IS - they are in no edition of OMS. The deploymentTime 'narrowing' is withdrawn: IS 9.8.3 requires deploymentTime:TM_Period and OMS-L Req 5 matches. Note the IS is itself inconsistent here (its diagrams show TM_Object [0..*]), an inconsistency OMS-L inherited.</t>
  </si>
  <si>
    <t>ObservationCollection has an empty attribute compartment in Figure 3, although 8.9 Req 2 requires collectionType:ObservationCollectionType, 8.9 Req 3 constrains it, 8.13 defines its codelist, and OMS 10.4.3 has it as collectionType:AbstractObservationCollectionType.  ||  [IS CHECK 31 Aug, vs ISO/TC211 N5820 = published ISO 19156] CONFIRMED, clause number updated: collectionType is IS 9.9.3 (the IS moved it up to AbstractObservationCollection; it was 10.4.3 in the DIS).</t>
  </si>
  <si>
    <t>ObservationCharacteristics omits the metadata attribute in Figure 3, although 8.8 Req 18 requires it and the Observation class carries 'metadata: Any' in the same figure. This also undercuts the clause 7.1.8 claim that ObservationCharacteristics has all of Observation's properties.  ||  [IS CHECK 31 Aug, vs ISO/TC211 N5820 = published ISO 19156] RESTATED AND DOWNGRADED. In OMS, metadata is an ASSOCIATION to «interface» Any, not an attribute (IS Figure 10 shows +metadata as a role). So ObservationCharacteristics is not missing a required attribute. The real divergence is smaller: OMS-L Figures 2 and 3 model metadata as an attribute 'metadata: Any' on Observation where OMS models it as an association.</t>
  </si>
  <si>
    <t>validTime is typed 'TM_Object' in Figures 2 and 3, against TM_Period in OMS 8.2.5 (validTime: TM_Period [0..*]) and in OMS-L's own Req 12 (validTime:TM_Period). The diagram is wrong on both counts.  ||  [IS CHECK 31 Aug, vs ISO/TC211 N5820 = published ISO 19156] CONFIRMED AND STRENGTHENED: the published IS shows 'validTime: TM_Period [0..*]' in all eleven of its diagrams and validTime:TM_Period in the requirement (8.2.5). OMS-L Figures 2 and 3 show TM_Object.</t>
  </si>
  <si>
    <t>The OMS-L diagrams state no attribute multiplicities. OMS states them consistently - deploymentReason: CharacterString [0..*], validTime: TM_Period [0..*], horizontalPositionalAccuracy: Any [0..1], size: PhysicalDimension [0..*], classification: StatisticalClassification [0..*]. Since the OMS-L requirement text does not state them either, attribute multiplicity is absent from OMS-L altogether.  ||  [IS CHECK 31 Aug, vs ISO/TC211 N5820 = published ISO 19156] CONFIRMED: the IS states attribute multiplicities consistently (observationType: AbstractObservationType [0..*], parameter: NamedValue [0..*], resultQuality: Any [0..*], deploymentReason: CharacterString [0..*]). OMS-L's diagrams state none.</t>
  </si>
  <si>
    <t>Figures 2 and 3 show 'observationType: LA_ObservationType' and 'parameter: LA_NamedValue'. Neither name appears in the OMS-L text (which says ObservationType and NamedValue) nor in ISO/DIS 19156. Appears to be a residue of the modelling environment.  ||  [IS CHECK 31 Aug, vs ISO/TC211 N5820 = published ISO 19156] CONFIRMED: the IS says NamedValue and AbstractObservationType. 'LA_' has zero occurrences in either edition of OMS.</t>
  </si>
  <si>
    <t>ISO/DIS 19156 clause 2 lists four normative references: ISO 19103, ISO 19107, ISO 19108 and ISO 19109. OMS-L clause 3 lists ISO 19103, 19107, 19108, 19123 and 19156 - dropping ISO 19109, which OMS carries normatively and which OMS-L itself uses normatively in clauses 5.2 and 6.2 for the FeatureType metaclass and the General Feature Model.  ||  [IS CHECK 31 Aug, vs ISO/TC211 N5820 = published ISO 19156] RECLASSIFIED AS INHERITED. The published IS dropped ISO 19109 from clause 2 between DIS and IS, while continuing to use it normatively in clause 4.2 (FeatureType metaclass, GFM) and clause 6. OMS-L reproduced both the omission and the normative use. ISO's defect, faithfully inherited; log for an OMS corrigendum.</t>
  </si>
  <si>
    <t>OMS pairs each abstract codelist (the empty extension point) with a concrete realization carrying the enumerated values: AbstractObservationType + ObservationTypeByResultType, AbstractObservationCollectionType + ObservationCollectionType, AbstractSampleType + SampleTypeByGeometryType. OMS-L collapsed the pairs and kept both texts, which is why 9.15 reads 'The code list SampleType can be specialized as required' above a requirement reading 'An empty extension-point'.  ||  [IS CHECK 31 Aug, vs ISO/TC211 N5820 = published ISO 19156] CONFIRMED, clause numbers updated: IS 9.11.1 / 9.11.2 (abstract) against 10.12.1 / 10.12.2, and 12.8.1 / 12.8.2 against 13.15.1.</t>
  </si>
  <si>
    <t>Every OMS requirements class carries a 'Name' row and, where it builds on another layer, an 'Imports' row (e.g. 'Imports /req/obs-cpt/Deployment', 'Imports /req/obs-core/NamedValue'). That is how OMS expresses its layering. OMS-L's requirements class tables have neither row, so the requirements-class dependency graph has been removed with nothing put in its place.  ||  [IS CHECK 31 Aug, vs ISO/TC211 N5820 = published ISO 19156] CONFIRMED: the published IS has 87 'Imports' rows across its requirements classes. OMS-L has none.</t>
  </si>
  <si>
    <t>OMS uses uppercase SHALL and SHOULD throughout and the word 'may'; OMS-L systematically lowercases to 'shall' and uses 'can'. Lowercase is correct for OGC, but one uppercase 'SHALL NOT' survives in 11.2.11, and the may/can substitution means the transposition is not strictly verbatim.  ||  [IS CHECK 31 Aug, vs ISO/TC211 N5820 = published ISO 19156] WITHDRAWN. The published IS uses lowercase shall/should throughout - zero uppercase occurrences. The uppercase SHALL was DIS-only. OMS-L's lowercase is faithful. The stray 'SHALL NOT' in 11.2.11 remains a trivial local inconsistency in new material.</t>
  </si>
  <si>
    <t>Clauses 10 and 11 and their six codelists have no counterpart in ISO/DIS 19156. 'MonitoringFacility', 'MonitoringNetwork', 'ResultAcquisitionSource', 'MediaValue', 'MeasurementRegimeValue' and 'SpecialisedMFType' each have zero occurrences in the OMS text. All of it is new material derived from INSPIRE EF.  ||  [IS CHECK 31 Aug, vs ISO/TC211 N5820 = published ISO 19156] CONFIRMED: MonitoringFacility, ResultAcquisitionSource, MediaValue, MeasurementRegimeValue and SpecialisedMFType all have zero occurrences in the published IS.</t>
  </si>
  <si>
    <t>26-019 cites ISO 19156:2023, but the provenance evidence matches ISO/DIS 19156 Ed. 2 as sent to ISO/CS (2021-12-01, headed 'ISO 19156:2021'). The DIS ballot ran to April 2022 and the standard published in 2023; defects found in the DIS may have been corrected in response to ballot comments.  ||  [IS CHECK 31 Aug, vs ISO/TC211 N5820 = published ISO 19156] ANSWERED. The transposition was made from the PUBLISHED IS, not the DIS. Four independent tells: lowercase shall (IS only); deploymentTime:TM_Period (IS 9.8.3; DIS said TM_Object); 'A feature CAN occur' (IS; DIS said 'may'); ISO 19109 absent from the reference list (IS clause 2 dropped it; the DIS had it). The inherited-defect list therefore stands against the standard that actually published - the risk this comment raised does not materialise.</t>
  </si>
  <si>
    <t>OMS Basic classes carry a 'link: URI [0..*]' attribute through /req/obs-basic/gen/link-sem (e.g. ISO/DIS 19156 10.10 Deployment). This pattern is not folded into OMS-L.</t>
  </si>
  <si>
    <t>Claude missed the reference to 19156:2023 in 3-References. OMS Compliance is due to the model, not additional conformance tests between the standards
Happy to provide the UML mapping to OMS in an Annex</t>
  </si>
  <si>
    <t>Comment KS</t>
  </si>
  <si>
    <t>Fixed
Missing 'Ext' is a good catch. Should now be clean</t>
  </si>
  <si>
    <t>Fixed
Had been deleted from the model but forgot to delete the conformance class</t>
  </si>
  <si>
    <t>Fixed
Classes were originally abstract, now removed from clause 2. Target type is now OMS Logical Model throughout</t>
  </si>
  <si>
    <t>F-01</t>
  </si>
  <si>
    <t>8.2 Req 18/21/24/27 vs OMS 8.2.12-8.2.15</t>
  </si>
  <si>
    <t>1163,1169,1172,1175</t>
  </si>
  <si>
    <t>Fidelity</t>
  </si>
  <si>
    <t>F-02</t>
  </si>
  <si>
    <t>9.7 Req 3; OMS 8.4, 11.4.4, Annex A.1.8</t>
  </si>
  <si>
    <t>1508</t>
  </si>
  <si>
    <t>F-03</t>
  </si>
  <si>
    <t>10.1-10.5; OMS 10.5, Annex A.3.10</t>
  </si>
  <si>
    <t>1672,1689,1706,1734</t>
  </si>
  <si>
    <t>F-04</t>
  </si>
  <si>
    <t>OMS 10.11</t>
  </si>
  <si>
    <t>F-05</t>
  </si>
  <si>
    <t>8.7; Figures 2 and 3; OMS 9.8, 10.10</t>
  </si>
  <si>
    <t>1252-1265</t>
  </si>
  <si>
    <t>F-06</t>
  </si>
  <si>
    <t>8.9 Req 2; Figure 3; OMS 10.4.3</t>
  </si>
  <si>
    <t>1310</t>
  </si>
  <si>
    <t>F-07</t>
  </si>
  <si>
    <t>8.8 Req 18; Figure 3</t>
  </si>
  <si>
    <t>1294</t>
  </si>
  <si>
    <t>F-08</t>
  </si>
  <si>
    <t>8.2 Req 12; Figures 2 and 3; OMS 8.2.5</t>
  </si>
  <si>
    <t>1160</t>
  </si>
  <si>
    <t>F-09</t>
  </si>
  <si>
    <t>Figures 2-9; OMS 9.8, 8.2.5, 13.3, Annex C</t>
  </si>
  <si>
    <t>F-10</t>
  </si>
  <si>
    <t>Figures 2 and 3</t>
  </si>
  <si>
    <t>F-11</t>
  </si>
  <si>
    <t>3; OMS clause 2</t>
  </si>
  <si>
    <t>F-12</t>
  </si>
  <si>
    <t>8.11-8.13, 9.15-9.17; OMS 9.10, 10.12, 12.8, 13.15</t>
  </si>
  <si>
    <t>1331,1616</t>
  </si>
  <si>
    <t>F-13</t>
  </si>
  <si>
    <t>8-11 (all req classes); OMS 8.8.1, 9.2.1, 9.8.1, 10.4.1</t>
  </si>
  <si>
    <t>1141+</t>
  </si>
  <si>
    <t>F-14</t>
  </si>
  <si>
    <t>Throughout; OMS throughout</t>
  </si>
  <si>
    <t>F-15</t>
  </si>
  <si>
    <t>10, 11 and 11.6 vs OMS (whole)</t>
  </si>
  <si>
    <t>1653-2161</t>
  </si>
  <si>
    <t>F-16</t>
  </si>
  <si>
    <t>Front matter, 3; OMS edition</t>
  </si>
  <si>
    <t>F-17</t>
  </si>
  <si>
    <t>OMS 10.10, /req/obs-basic/gen/link-sem</t>
  </si>
  <si>
    <t>Restore all four to recommendations under /rec/ identifiers, and add a /req/ vs /rec/ prefix check to the transposition workflow.</t>
  </si>
  <si>
    <t>THE headline fidelity finding. An implementation conformant to OMS can be non-conformant to OMS-L, which is the opposite of the stated warts-and-boils policy.</t>
  </si>
  <si>
    <t>Either fold Procedure into OMS-L, or change Sampler Req 3 to reference SamplingProcedure and state the omission of Procedure in the mapping annex.</t>
  </si>
  <si>
    <t>New finding from the OMS comparison.</t>
  </si>
  <si>
    <t>Fold ObservingCapability into OMS-L with its own requirements and conformance class, or add a normative reference to ISO 19156:2023 10.5 at each point of use.</t>
  </si>
  <si>
    <t>This is the precise, located form of B-20. Not an invented complaint and not inherited: OMS defines the class, OMS-L depends on it and omits it.</t>
  </si>
  <si>
    <t>State the omission and its rationale in the mapping annex.</t>
  </si>
  <si>
    <t>Probably deliberate; needs recording.</t>
  </si>
  <si>
    <t>Identify the source of atPosition and positionUoM. If intentional additions, give them requirements; if not, correct the diagrams to carry deploymentReason and deploymentTime. Restore deploymentTime to TM_Object or justify the narrowing.</t>
  </si>
  <si>
    <t>New finding, only visible with the diagrams. The most clear-cut diagram/text conflict in the document.</t>
  </si>
  <si>
    <t>Add collectionType to the ObservationCollection class in Figure 3.</t>
  </si>
  <si>
    <t>New finding from the diagrams.</t>
  </si>
  <si>
    <t>Add metadata to ObservationCharacteristics in Figure 3.</t>
  </si>
  <si>
    <t>New finding from the diagrams; resolves part of B-25.</t>
  </si>
  <si>
    <t>Correct the diagrams to TM_Period.</t>
  </si>
  <si>
    <t>Add attribute multiplicities to the diagrams, matching OMS.</t>
  </si>
  <si>
    <t>This is the corrected, much narrower form of B-26. Association multiplicities are present and complete - my original claim that the model has no multiplicities was wrong.</t>
  </si>
  <si>
    <t>Rename to the type names used in the requirements text.</t>
  </si>
  <si>
    <t>Restore ISO 19109 (2025 edition) to clause 3.</t>
  </si>
  <si>
    <t>Confirms C-04 and shows it is a regression against OMS rather than an isolated oversight.</t>
  </si>
  <si>
    <t>Tidy the merged codelist descriptions so each states either extension-point or enumerated semantics, not both.</t>
  </si>
  <si>
    <t>Explains and weakens A-06 - a by-product of the fold rather than a defect.</t>
  </si>
  <si>
    <t>Reintroduce a Name row, and replace Imports with an explicit dependency mechanism between OMS-L requirements classes - or state that OMS-L requirements classes are deliberately independent.</t>
  </si>
  <si>
    <t>Root cause of A-04 and A-05. Since flattening the layers is the purpose of OMS-L, losing the mechanism that recorded the relationships deserves a deliberate decision.</t>
  </si>
  <si>
    <t>Fix the stray SHALL NOT; note the drafting-style substitutions in the transposition policy statement (see A-09).</t>
  </si>
  <si>
    <t>Origin of D-09.</t>
  </si>
  <si>
    <t>State explicitly in clause 1 or the Preface which parts of the document are transposed from ISO 19156 and which are new material from INSPIRE EF, since the two carry different editorial freedom and different review expectations.</t>
  </si>
  <si>
    <t>Reframes the whole comment sheet: most surviving blocking comments (B-02, B-03, B-05, B-18, B-23, D-11) sit in new material where the transposition defence is not available and the SWG has full freedom to fix.</t>
  </si>
  <si>
    <t>Confirm which edition was transposed. If the DIS, re-check every inherited-defect determination against the published 2023 text before deciding to preserve it.</t>
  </si>
  <si>
    <t>Material for the whole inherited-defect list: faithfully preserving a wart that ISO has already removed would be the wrong call.</t>
  </si>
  <si>
    <t>Fold it in or record the omission in the mapping annex.</t>
  </si>
  <si>
    <t>Minor fold gap.</t>
  </si>
  <si>
    <t>In OMS Conceptual, this is a rec, but in OMS Abstract, its a req</t>
  </si>
  <si>
    <t xml:space="preserve">Fixed
Req 3 updated to reference SamplingProcedure, not Procedure </t>
  </si>
  <si>
    <t>Fixed
Had gotten lost when copying from OMS</t>
  </si>
  <si>
    <t>Fixed
Added to 8.1: Note: The OMS GenericDomainFeature class (ISO/DIS 19156 10.11) was not transposed into OMS-L, under the assumption that all actors who specialize their community models from OMS-L will define their own features as required.</t>
  </si>
  <si>
    <t>Positional information in Deployment is an outcome of GeoTech and Water Quality IEs, integrated in STA 2.0
Reqs added to 8.7 Deployment for atPosition and positionUoM</t>
  </si>
  <si>
    <t>Fixed in UML</t>
  </si>
  <si>
    <t>Claude has it backwards, probably because the diagrams in OMS are SVG whereas in OMS-L still PNG
Did point me to a few interesting cardinality glitches in the UML, now fixed</t>
  </si>
  <si>
    <t>We missed 19109 in OMS period, now added to OMS-L</t>
  </si>
  <si>
    <t>Removing this complex dependency graph was one of the aims of the exercise</t>
  </si>
  <si>
    <t>As described, Monitoring comes from INSPIRE</t>
  </si>
  <si>
    <t>Claude glitch, probably due to the ISO draft of OMS provided</t>
  </si>
  <si>
    <t>The agreement was to implement OMS Abstract, only including concepts from Basic where necessary (e.g. specialized Sample types, Sample Collection, ObservingCapability). Thus after discussion in OMS SWG, agreed not to implement the link attribute, leave this to specializations</t>
  </si>
  <si>
    <t>Codelist URIs will be created once Standard is adopted</t>
  </si>
  <si>
    <t>KS</t>
  </si>
  <si>
    <t>Reject</t>
  </si>
  <si>
    <t>URI</t>
  </si>
  <si>
    <t>Final Doc</t>
  </si>
  <si>
    <t>Accept</t>
  </si>
  <si>
    <t>???</t>
  </si>
  <si>
    <t>TBD</t>
  </si>
  <si>
    <t>Row Labels</t>
  </si>
  <si>
    <t>(blank)</t>
  </si>
  <si>
    <t>Grand Total</t>
  </si>
  <si>
    <t>Count of KS</t>
  </si>
  <si>
    <t>Accepted, fixed in doc and/or UML</t>
  </si>
  <si>
    <t xml:space="preserve">Rejected </t>
  </si>
  <si>
    <t>Either things to be done when finalizing the doc, or issues in OGC templates</t>
  </si>
  <si>
    <t>Topics to be discussed with OMS SWG, see issues under ToDo</t>
  </si>
  <si>
    <t>Issues with URIs</t>
  </si>
  <si>
    <t>Guidance from OAB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</si>
</sst>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sz val="10"/>
      <name val="Arial"/>
      <family val="2"/>
    </font>
    <font>
      <b/>
      <sz val="13"/>
      <name val="Arial"/>
      <family val="2"/>
    </font>
    <font>
      <i/>
      <sz val="10"/>
      <name val="Arial"/>
      <family val="2"/>
    </font>
    <font>
      <b/>
      <sz val="11"/>
      <name val="Arial"/>
      <family val="2"/>
    </font>
    <font>
      <sz val="10"/>
      <name val="Arial"/>
      <family val="2"/>
    </font>
    <font>
      <b/>
      <sz val="10"/>
      <name val="Arial"/>
      <family val="2"/>
    </font>
    <font>
      <b/>
      <sz val="10"/>
      <color rgb="FFFFFFFF"/>
      <name val="Arial"/>
      <family val="2"/>
    </font>
  </fonts>
  <fills count="22">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E2EFDA"/>
        <bgColor rgb="FFD9E1F2"/>
      </patternFill>
    </fill>
    <fill>
      <patternFill patternType="solid">
        <fgColor rgb="FFD9E1F2"/>
        <bgColor rgb="FFE2EFDA"/>
      </patternFill>
    </fill>
    <fill>
      <patternFill patternType="solid">
        <fgColor rgb="FFFFFF00"/>
        <bgColor indexed="64"/>
      </patternFill>
    </fill>
    <fill>
      <patternFill patternType="solid">
        <fgColor rgb="FFFFFF00"/>
        <bgColor rgb="FFF8CBAD"/>
      </patternFill>
    </fill>
    <fill>
      <patternFill patternType="solid">
        <fgColor rgb="FFF2F2F2"/>
      </patternFill>
    </fill>
    <fill>
      <patternFill patternType="solid">
        <fgColor rgb="FF92D050"/>
        <bgColor rgb="FFF8CBAD"/>
      </patternFill>
    </fill>
    <fill>
      <patternFill patternType="solid">
        <fgColor rgb="FF92D050"/>
        <bgColor indexed="64"/>
      </patternFill>
    </fill>
    <fill>
      <patternFill patternType="solid">
        <fgColor rgb="FF1F3864"/>
      </patternFill>
    </fill>
    <fill>
      <patternFill patternType="solid">
        <fgColor rgb="FFD9E1F2"/>
      </patternFill>
    </fill>
    <fill>
      <patternFill patternType="solid">
        <fgColor rgb="FFFFF2CC"/>
      </patternFill>
    </fill>
    <fill>
      <patternFill patternType="solid">
        <fgColor rgb="FFEDEDED"/>
      </patternFill>
    </fill>
    <fill>
      <patternFill patternType="solid">
        <fgColor rgb="FFE4DFEC"/>
      </patternFill>
    </fill>
    <fill>
      <patternFill patternType="solid">
        <fgColor rgb="FFFFE699"/>
      </patternFill>
    </fill>
    <fill>
      <patternFill patternType="solid">
        <fgColor rgb="FFE2EFDA"/>
      </patternFill>
    </fill>
    <fill>
      <patternFill patternType="solid">
        <fgColor rgb="FFF8CBAD"/>
      </patternFill>
    </fill>
    <fill>
      <patternFill patternType="solid">
        <fgColor rgb="FF92D050"/>
        <bgColor rgb="FFD9E1F2"/>
      </patternFill>
    </fill>
    <fill>
      <patternFill patternType="solid">
        <fgColor rgb="FF92D050"/>
        <bgColor rgb="FFFFE69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vertical="top" wrapText="1"/>
    </xf>
    <xf numFmtId="0" fontId="7" fillId="2" borderId="1" xfId="0" applyFont="1" applyFill="1" applyBorder="1" applyAlignment="1">
      <alignment horizontal="center" vertical="center" wrapText="1"/>
    </xf>
    <xf numFmtId="0" fontId="6"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horizontal="center" vertical="top"/>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1" fillId="0" borderId="1" xfId="0" applyFont="1" applyBorder="1" applyAlignment="1">
      <alignment vertical="top" wrapText="1"/>
    </xf>
    <xf numFmtId="0" fontId="6" fillId="7" borderId="1" xfId="0" applyFont="1" applyFill="1" applyBorder="1" applyAlignment="1">
      <alignment vertical="top" wrapText="1"/>
    </xf>
    <xf numFmtId="0" fontId="5" fillId="7" borderId="1" xfId="0" applyFont="1" applyFill="1" applyBorder="1" applyAlignment="1">
      <alignment vertical="top" wrapText="1"/>
    </xf>
    <xf numFmtId="0" fontId="5" fillId="7" borderId="1" xfId="0" applyFont="1" applyFill="1" applyBorder="1" applyAlignment="1">
      <alignment horizontal="center" vertical="top"/>
    </xf>
    <xf numFmtId="0" fontId="5" fillId="8" borderId="1" xfId="0" applyFont="1" applyFill="1" applyBorder="1" applyAlignment="1">
      <alignment horizontal="center" vertical="top" wrapText="1"/>
    </xf>
    <xf numFmtId="0" fontId="0" fillId="7" borderId="0" xfId="0" applyFill="1"/>
    <xf numFmtId="0" fontId="1" fillId="7" borderId="1" xfId="0" applyFont="1" applyFill="1" applyBorder="1" applyAlignment="1">
      <alignment vertical="top" wrapText="1"/>
    </xf>
    <xf numFmtId="0" fontId="1" fillId="0" borderId="1" xfId="0" quotePrefix="1" applyFont="1" applyBorder="1" applyAlignment="1">
      <alignment vertical="top" wrapText="1"/>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10"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7" fillId="12" borderId="1" xfId="0" applyFont="1" applyFill="1" applyBorder="1" applyAlignment="1">
      <alignment horizontal="center" vertical="center" wrapText="1"/>
    </xf>
    <xf numFmtId="0" fontId="1" fillId="13" borderId="1" xfId="0" applyFont="1" applyFill="1" applyBorder="1" applyAlignment="1">
      <alignment horizontal="center" vertical="top" wrapText="1"/>
    </xf>
    <xf numFmtId="0" fontId="1" fillId="9" borderId="1" xfId="0" applyFont="1" applyFill="1" applyBorder="1" applyAlignment="1">
      <alignment horizontal="center" vertical="top" wrapText="1"/>
    </xf>
    <xf numFmtId="0" fontId="1" fillId="14" borderId="1" xfId="0" applyFont="1" applyFill="1" applyBorder="1" applyAlignment="1">
      <alignment horizontal="center" vertical="top" wrapText="1"/>
    </xf>
    <xf numFmtId="0" fontId="1" fillId="15" borderId="1" xfId="0" applyFont="1" applyFill="1" applyBorder="1" applyAlignment="1">
      <alignment horizontal="center" vertical="top" wrapText="1"/>
    </xf>
    <xf numFmtId="0" fontId="1" fillId="16" borderId="1" xfId="0" applyFont="1" applyFill="1" applyBorder="1" applyAlignment="1">
      <alignment horizontal="center" vertical="top" wrapText="1"/>
    </xf>
    <xf numFmtId="0" fontId="1" fillId="17" borderId="1" xfId="0" applyFont="1" applyFill="1" applyBorder="1" applyAlignment="1">
      <alignment horizontal="center" vertical="top" wrapText="1"/>
    </xf>
    <xf numFmtId="0" fontId="1" fillId="18" borderId="1" xfId="0" applyFont="1" applyFill="1" applyBorder="1" applyAlignment="1">
      <alignment horizontal="center" vertical="top" wrapText="1"/>
    </xf>
    <xf numFmtId="0" fontId="1" fillId="19" borderId="1" xfId="0" applyFont="1" applyFill="1" applyBorder="1" applyAlignment="1">
      <alignment horizontal="center" vertical="top" wrapText="1"/>
    </xf>
    <xf numFmtId="0" fontId="1" fillId="20" borderId="1" xfId="0" applyFont="1" applyFill="1" applyBorder="1" applyAlignment="1">
      <alignment horizontal="center" vertical="top" wrapText="1"/>
    </xf>
    <xf numFmtId="0" fontId="1" fillId="21" borderId="1" xfId="0" applyFont="1" applyFill="1" applyBorder="1" applyAlignment="1">
      <alignment horizontal="center" vertical="top" wrapText="1"/>
    </xf>
    <xf numFmtId="0" fontId="1" fillId="0" borderId="1" xfId="0" applyFont="1" applyBorder="1" applyAlignment="1">
      <alignment horizontal="center" vertical="top"/>
    </xf>
    <xf numFmtId="0" fontId="1" fillId="0" borderId="2" xfId="0" applyFont="1" applyFill="1" applyBorder="1" applyAlignment="1">
      <alignment vertical="top" wrapText="1"/>
    </xf>
    <xf numFmtId="0" fontId="1" fillId="11" borderId="2" xfId="0" applyFont="1" applyFill="1" applyBorder="1" applyAlignment="1">
      <alignment vertical="top" wrapText="1"/>
    </xf>
    <xf numFmtId="0" fontId="0" fillId="0" borderId="0" xfId="0" applyAlignment="1">
      <alignment wrapText="1"/>
    </xf>
    <xf numFmtId="0" fontId="0" fillId="11" borderId="0" xfId="0" applyFill="1" applyAlignment="1">
      <alignment wrapText="1"/>
    </xf>
    <xf numFmtId="0" fontId="1" fillId="6" borderId="1" xfId="0" applyFont="1" applyFill="1" applyBorder="1" applyAlignment="1">
      <alignment horizontal="center" vertical="top"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i" refreshedDate="46267.785635185188" createdVersion="8" refreshedVersion="8" minRefreshableVersion="3" recordCount="86" xr:uid="{65A352C7-BAFE-4B11-A12F-592FBA75AF37}">
  <cacheSource type="worksheet">
    <worksheetSource ref="H1:H1048576" sheet="Comments"/>
  </cacheSource>
  <cacheFields count="1">
    <cacheField name="KS" numFmtId="0">
      <sharedItems containsBlank="1" count="7">
        <s v="Reject"/>
        <s v="URI"/>
        <s v="Final Doc"/>
        <s v="Accept"/>
        <s v="???"/>
        <s v="TB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r>
  <r>
    <x v="0"/>
  </r>
  <r>
    <x v="0"/>
  </r>
  <r>
    <x v="0"/>
  </r>
  <r>
    <x v="0"/>
  </r>
  <r>
    <x v="0"/>
  </r>
  <r>
    <x v="1"/>
  </r>
  <r>
    <x v="2"/>
  </r>
  <r>
    <x v="0"/>
  </r>
  <r>
    <x v="0"/>
  </r>
  <r>
    <x v="2"/>
  </r>
  <r>
    <x v="0"/>
  </r>
  <r>
    <x v="2"/>
  </r>
  <r>
    <x v="3"/>
  </r>
  <r>
    <x v="3"/>
  </r>
  <r>
    <x v="0"/>
  </r>
  <r>
    <x v="4"/>
  </r>
  <r>
    <x v="3"/>
  </r>
  <r>
    <x v="3"/>
  </r>
  <r>
    <x v="4"/>
  </r>
  <r>
    <x v="3"/>
  </r>
  <r>
    <x v="3"/>
  </r>
  <r>
    <x v="3"/>
  </r>
  <r>
    <x v="0"/>
  </r>
  <r>
    <x v="0"/>
  </r>
  <r>
    <x v="0"/>
  </r>
  <r>
    <x v="0"/>
  </r>
  <r>
    <x v="0"/>
  </r>
  <r>
    <x v="3"/>
  </r>
  <r>
    <x v="3"/>
  </r>
  <r>
    <x v="3"/>
  </r>
  <r>
    <x v="3"/>
  </r>
  <r>
    <x v="3"/>
  </r>
  <r>
    <x v="3"/>
  </r>
  <r>
    <x v="3"/>
  </r>
  <r>
    <x v="5"/>
  </r>
  <r>
    <x v="0"/>
  </r>
  <r>
    <x v="5"/>
  </r>
  <r>
    <x v="3"/>
  </r>
  <r>
    <x v="0"/>
  </r>
  <r>
    <x v="3"/>
  </r>
  <r>
    <x v="0"/>
  </r>
  <r>
    <x v="0"/>
  </r>
  <r>
    <x v="0"/>
  </r>
  <r>
    <x v="0"/>
  </r>
  <r>
    <x v="3"/>
  </r>
  <r>
    <x v="3"/>
  </r>
  <r>
    <x v="3"/>
  </r>
  <r>
    <x v="0"/>
  </r>
  <r>
    <x v="2"/>
  </r>
  <r>
    <x v="3"/>
  </r>
  <r>
    <x v="0"/>
  </r>
  <r>
    <x v="3"/>
  </r>
  <r>
    <x v="2"/>
  </r>
  <r>
    <x v="2"/>
  </r>
  <r>
    <x v="3"/>
  </r>
  <r>
    <x v="3"/>
  </r>
  <r>
    <x v="3"/>
  </r>
  <r>
    <x v="3"/>
  </r>
  <r>
    <x v="3"/>
  </r>
  <r>
    <x v="3"/>
  </r>
  <r>
    <x v="3"/>
  </r>
  <r>
    <x v="2"/>
  </r>
  <r>
    <x v="2"/>
  </r>
  <r>
    <x v="2"/>
  </r>
  <r>
    <x v="2"/>
  </r>
  <r>
    <x v="2"/>
  </r>
  <r>
    <x v="0"/>
  </r>
  <r>
    <x v="0"/>
  </r>
  <r>
    <x v="3"/>
  </r>
  <r>
    <x v="3"/>
  </r>
  <r>
    <x v="3"/>
  </r>
  <r>
    <x v="0"/>
  </r>
  <r>
    <x v="3"/>
  </r>
  <r>
    <x v="3"/>
  </r>
  <r>
    <x v="3"/>
  </r>
  <r>
    <x v="0"/>
  </r>
  <r>
    <x v="3"/>
  </r>
  <r>
    <x v="3"/>
  </r>
  <r>
    <x v="3"/>
  </r>
  <r>
    <x v="0"/>
  </r>
  <r>
    <x v="3"/>
  </r>
  <r>
    <x v="0"/>
  </r>
  <r>
    <x v="0"/>
  </r>
  <r>
    <x v="0"/>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D97C91-26A4-4968-B50C-601259F0079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
    <pivotField axis="axisRow" dataField="1" showAll="0">
      <items count="8">
        <item x="3"/>
        <item x="0"/>
        <item x="2"/>
        <item x="5"/>
        <item x="1"/>
        <item x="4"/>
        <item x="6"/>
        <item t="default"/>
      </items>
    </pivotField>
  </pivotFields>
  <rowFields count="1">
    <field x="0"/>
  </rowFields>
  <rowItems count="8">
    <i>
      <x/>
    </i>
    <i>
      <x v="1"/>
    </i>
    <i>
      <x v="2"/>
    </i>
    <i>
      <x v="3"/>
    </i>
    <i>
      <x v="4"/>
    </i>
    <i>
      <x v="5"/>
    </i>
    <i>
      <x v="6"/>
    </i>
    <i t="grand">
      <x/>
    </i>
  </rowItems>
  <colItems count="1">
    <i/>
  </colItems>
  <dataFields count="1">
    <dataField name="Count of K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zoomScaleNormal="100" workbookViewId="0"/>
  </sheetViews>
  <sheetFormatPr defaultColWidth="8.7109375" defaultRowHeight="15" x14ac:dyDescent="0.25"/>
  <cols>
    <col min="1" max="1" width="20" customWidth="1"/>
    <col min="2" max="2" width="100" customWidth="1"/>
  </cols>
  <sheetData>
    <row r="1" spans="1:2" ht="16.350000000000001" customHeight="1" x14ac:dyDescent="0.25">
      <c r="A1" s="1" t="s">
        <v>0</v>
      </c>
    </row>
    <row r="2" spans="1:2" ht="15" customHeight="1" x14ac:dyDescent="0.25">
      <c r="A2" s="2" t="s">
        <v>1</v>
      </c>
    </row>
    <row r="4" spans="1:2" ht="15" customHeight="1" x14ac:dyDescent="0.25">
      <c r="A4" s="3" t="s">
        <v>2</v>
      </c>
    </row>
    <row r="5" spans="1:2" ht="15" customHeight="1" x14ac:dyDescent="0.25">
      <c r="A5" s="4" t="s">
        <v>3</v>
      </c>
      <c r="B5" s="4" t="e">
        <f>COUNTIF(#REF!,A5)</f>
        <v>#REF!</v>
      </c>
    </row>
    <row r="6" spans="1:2" ht="15" customHeight="1" x14ac:dyDescent="0.25">
      <c r="A6" s="4" t="s">
        <v>4</v>
      </c>
      <c r="B6" s="4" t="e">
        <f>COUNTIF(#REF!,A6)</f>
        <v>#REF!</v>
      </c>
    </row>
    <row r="7" spans="1:2" ht="15" customHeight="1" x14ac:dyDescent="0.25">
      <c r="A7" s="4" t="s">
        <v>5</v>
      </c>
      <c r="B7" s="4" t="e">
        <f>COUNTIF(#REF!,A7)</f>
        <v>#REF!</v>
      </c>
    </row>
    <row r="8" spans="1:2" ht="15" customHeight="1" x14ac:dyDescent="0.25">
      <c r="A8" s="4" t="s">
        <v>6</v>
      </c>
      <c r="B8" s="4" t="e">
        <f>COUNTIF(#REF!,A8)</f>
        <v>#REF!</v>
      </c>
    </row>
    <row r="9" spans="1:2" ht="15" customHeight="1" x14ac:dyDescent="0.25">
      <c r="A9" s="5" t="s">
        <v>7</v>
      </c>
      <c r="B9" s="5">
        <f>COUNTA(#REF!)</f>
        <v>1</v>
      </c>
    </row>
    <row r="11" spans="1:2" ht="15" customHeight="1" x14ac:dyDescent="0.25">
      <c r="A11" s="3" t="s">
        <v>8</v>
      </c>
    </row>
    <row r="12" spans="1:2" ht="15" customHeight="1" x14ac:dyDescent="0.25">
      <c r="A12" s="4" t="s">
        <v>9</v>
      </c>
      <c r="B12" s="4" t="e">
        <f>COUNTIF(#REF!,A12)</f>
        <v>#REF!</v>
      </c>
    </row>
    <row r="13" spans="1:2" ht="15" customHeight="1" x14ac:dyDescent="0.25">
      <c r="A13" s="4" t="s">
        <v>10</v>
      </c>
      <c r="B13" s="4" t="e">
        <f>COUNTIF(#REF!,A13)</f>
        <v>#REF!</v>
      </c>
    </row>
    <row r="14" spans="1:2" ht="15" customHeight="1" x14ac:dyDescent="0.25">
      <c r="A14" s="4" t="s">
        <v>11</v>
      </c>
      <c r="B14" s="4" t="e">
        <f>COUNTIF(#REF!,A14)</f>
        <v>#REF!</v>
      </c>
    </row>
    <row r="15" spans="1:2" ht="15" customHeight="1" x14ac:dyDescent="0.25">
      <c r="A15" s="4" t="s">
        <v>12</v>
      </c>
      <c r="B15" s="4" t="e">
        <f>COUNTIF(#REF!,A15)</f>
        <v>#REF!</v>
      </c>
    </row>
    <row r="16" spans="1:2" ht="15" customHeight="1" x14ac:dyDescent="0.25">
      <c r="A16" s="4" t="s">
        <v>13</v>
      </c>
      <c r="B16" s="4" t="e">
        <f>COUNTIF(#REF!,A16)</f>
        <v>#REF!</v>
      </c>
    </row>
    <row r="17" spans="1:2" ht="15" customHeight="1" x14ac:dyDescent="0.25">
      <c r="A17" s="4" t="s">
        <v>14</v>
      </c>
      <c r="B17" s="4" t="e">
        <f>COUNTIF(#REF!,A17)</f>
        <v>#REF!</v>
      </c>
    </row>
    <row r="20" spans="1:2" ht="15" customHeight="1" x14ac:dyDescent="0.25">
      <c r="A20" s="3" t="s">
        <v>15</v>
      </c>
    </row>
    <row r="21" spans="1:2" ht="15" customHeight="1" x14ac:dyDescent="0.25">
      <c r="A21" s="5" t="s">
        <v>16</v>
      </c>
      <c r="B21" s="6" t="s">
        <v>17</v>
      </c>
    </row>
    <row r="22" spans="1:2" ht="15" customHeight="1" x14ac:dyDescent="0.25">
      <c r="A22" s="5" t="s">
        <v>18</v>
      </c>
      <c r="B22" s="6" t="s">
        <v>19</v>
      </c>
    </row>
    <row r="23" spans="1:2" ht="15" customHeight="1" x14ac:dyDescent="0.25">
      <c r="A23" s="5" t="s">
        <v>20</v>
      </c>
      <c r="B23" s="6" t="s">
        <v>21</v>
      </c>
    </row>
    <row r="24" spans="1:2" ht="15" customHeight="1" x14ac:dyDescent="0.25">
      <c r="A24" s="5" t="s">
        <v>3</v>
      </c>
      <c r="B24" s="6" t="s">
        <v>22</v>
      </c>
    </row>
    <row r="25" spans="1:2" ht="15" customHeight="1" x14ac:dyDescent="0.25">
      <c r="A25" s="5" t="s">
        <v>4</v>
      </c>
      <c r="B25" s="6" t="s">
        <v>23</v>
      </c>
    </row>
    <row r="26" spans="1:2" ht="15" customHeight="1" x14ac:dyDescent="0.25">
      <c r="A26" s="5" t="s">
        <v>5</v>
      </c>
      <c r="B26" s="6" t="s">
        <v>24</v>
      </c>
    </row>
    <row r="27" spans="1:2" ht="15" customHeight="1" x14ac:dyDescent="0.25">
      <c r="A27" s="5" t="s">
        <v>25</v>
      </c>
      <c r="B27" s="6"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4540-993E-4860-988D-EB184174A43A}">
  <dimension ref="A3:C11"/>
  <sheetViews>
    <sheetView workbookViewId="0">
      <selection activeCell="I21" sqref="I21"/>
    </sheetView>
  </sheetViews>
  <sheetFormatPr defaultRowHeight="15" x14ac:dyDescent="0.25"/>
  <cols>
    <col min="1" max="1" width="13.140625" bestFit="1" customWidth="1"/>
    <col min="2" max="2" width="11.140625" bestFit="1" customWidth="1"/>
  </cols>
  <sheetData>
    <row r="3" spans="1:3" x14ac:dyDescent="0.25">
      <c r="A3" s="45" t="s">
        <v>610</v>
      </c>
      <c r="B3" t="s">
        <v>613</v>
      </c>
    </row>
    <row r="4" spans="1:3" x14ac:dyDescent="0.25">
      <c r="A4" s="46" t="s">
        <v>607</v>
      </c>
      <c r="B4" s="47">
        <v>38</v>
      </c>
      <c r="C4" t="s">
        <v>614</v>
      </c>
    </row>
    <row r="5" spans="1:3" x14ac:dyDescent="0.25">
      <c r="A5" s="46" t="s">
        <v>604</v>
      </c>
      <c r="B5" s="47">
        <v>31</v>
      </c>
      <c r="C5" t="s">
        <v>615</v>
      </c>
    </row>
    <row r="6" spans="1:3" x14ac:dyDescent="0.25">
      <c r="A6" s="46" t="s">
        <v>606</v>
      </c>
      <c r="B6" s="47">
        <v>11</v>
      </c>
      <c r="C6" t="s">
        <v>616</v>
      </c>
    </row>
    <row r="7" spans="1:3" x14ac:dyDescent="0.25">
      <c r="A7" s="46" t="s">
        <v>609</v>
      </c>
      <c r="B7" s="47">
        <v>2</v>
      </c>
      <c r="C7" t="s">
        <v>617</v>
      </c>
    </row>
    <row r="8" spans="1:3" x14ac:dyDescent="0.25">
      <c r="A8" s="46" t="s">
        <v>605</v>
      </c>
      <c r="B8" s="47">
        <v>1</v>
      </c>
      <c r="C8" t="s">
        <v>618</v>
      </c>
    </row>
    <row r="9" spans="1:3" x14ac:dyDescent="0.25">
      <c r="A9" s="46" t="s">
        <v>608</v>
      </c>
      <c r="B9" s="47">
        <v>2</v>
      </c>
      <c r="C9" t="s">
        <v>619</v>
      </c>
    </row>
    <row r="10" spans="1:3" x14ac:dyDescent="0.25">
      <c r="A10" s="46" t="s">
        <v>611</v>
      </c>
      <c r="B10" s="47"/>
    </row>
    <row r="11" spans="1:3" x14ac:dyDescent="0.25">
      <c r="A11" s="46" t="s">
        <v>612</v>
      </c>
      <c r="B11" s="47">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E699-8CAC-45CA-98F5-B7B48A6B25A8}">
  <dimension ref="A1:M86"/>
  <sheetViews>
    <sheetView tabSelected="1" zoomScale="151" zoomScaleNormal="151" workbookViewId="0">
      <pane ySplit="1" topLeftCell="A2" activePane="bottomLeft" state="frozen"/>
      <selection pane="bottomLeft" activeCell="K85" sqref="K85"/>
    </sheetView>
  </sheetViews>
  <sheetFormatPr defaultColWidth="8.7109375" defaultRowHeight="15" x14ac:dyDescent="0.25"/>
  <cols>
    <col min="1" max="1" width="8" customWidth="1"/>
    <col min="2" max="2" width="7.140625" customWidth="1"/>
    <col min="3" max="3" width="13.5703125" customWidth="1"/>
    <col min="4" max="4" width="6.5703125" customWidth="1"/>
    <col min="5" max="5" width="7" customWidth="1"/>
    <col min="6" max="6" width="11" customWidth="1"/>
    <col min="7" max="7" width="36.28515625" customWidth="1"/>
    <col min="8" max="8" width="8.85546875" bestFit="1" customWidth="1"/>
    <col min="9" max="9" width="15" customWidth="1"/>
    <col min="10" max="10" width="11" customWidth="1"/>
    <col min="11" max="11" width="86" customWidth="1"/>
    <col min="12" max="12" width="130.28515625" customWidth="1"/>
    <col min="13" max="13" width="78" customWidth="1"/>
  </cols>
  <sheetData>
    <row r="1" spans="1:13" ht="15" customHeight="1" x14ac:dyDescent="0.25">
      <c r="A1" s="7" t="s">
        <v>27</v>
      </c>
      <c r="B1" s="7" t="s">
        <v>28</v>
      </c>
      <c r="C1" s="7" t="s">
        <v>25</v>
      </c>
      <c r="D1" s="7" t="s">
        <v>29</v>
      </c>
      <c r="E1" s="7" t="s">
        <v>30</v>
      </c>
      <c r="F1" s="7" t="s">
        <v>31</v>
      </c>
      <c r="G1" s="7" t="s">
        <v>509</v>
      </c>
      <c r="H1" s="7" t="s">
        <v>603</v>
      </c>
      <c r="I1" s="28" t="s">
        <v>424</v>
      </c>
      <c r="J1" s="28" t="s">
        <v>433</v>
      </c>
      <c r="K1" s="28" t="s">
        <v>434</v>
      </c>
      <c r="L1" s="7" t="s">
        <v>32</v>
      </c>
      <c r="M1" s="7" t="s">
        <v>33</v>
      </c>
    </row>
    <row r="2" spans="1:13" ht="65.25" customHeight="1" x14ac:dyDescent="0.25">
      <c r="A2" s="8" t="s">
        <v>34</v>
      </c>
      <c r="B2" s="9" t="s">
        <v>35</v>
      </c>
      <c r="C2" s="9" t="s">
        <v>36</v>
      </c>
      <c r="D2" s="9" t="s">
        <v>9</v>
      </c>
      <c r="E2" s="10" t="s">
        <v>37</v>
      </c>
      <c r="F2" s="11" t="s">
        <v>3</v>
      </c>
      <c r="G2" s="23" t="s">
        <v>508</v>
      </c>
      <c r="H2" s="23" t="s">
        <v>604</v>
      </c>
      <c r="I2" s="29" t="s">
        <v>425</v>
      </c>
      <c r="J2" s="34" t="s">
        <v>4</v>
      </c>
      <c r="K2" s="15" t="s">
        <v>435</v>
      </c>
      <c r="L2" s="9" t="s">
        <v>38</v>
      </c>
      <c r="M2" s="9" t="s">
        <v>39</v>
      </c>
    </row>
    <row r="3" spans="1:13" ht="35.1" customHeight="1" x14ac:dyDescent="0.25">
      <c r="A3" s="8" t="s">
        <v>40</v>
      </c>
      <c r="B3" s="9" t="s">
        <v>41</v>
      </c>
      <c r="C3" s="9" t="s">
        <v>42</v>
      </c>
      <c r="D3" s="9" t="s">
        <v>9</v>
      </c>
      <c r="E3" s="10" t="s">
        <v>37</v>
      </c>
      <c r="F3" s="12" t="s">
        <v>4</v>
      </c>
      <c r="G3" s="24" t="s">
        <v>369</v>
      </c>
      <c r="H3" s="24" t="s">
        <v>604</v>
      </c>
      <c r="I3" s="30" t="s">
        <v>426</v>
      </c>
      <c r="J3" s="35" t="s">
        <v>5</v>
      </c>
      <c r="K3" s="15" t="s">
        <v>436</v>
      </c>
      <c r="L3" s="9" t="s">
        <v>43</v>
      </c>
      <c r="M3" s="9" t="s">
        <v>44</v>
      </c>
    </row>
    <row r="4" spans="1:13" ht="57.6" customHeight="1" x14ac:dyDescent="0.25">
      <c r="A4" s="8" t="s">
        <v>45</v>
      </c>
      <c r="B4" s="9" t="s">
        <v>46</v>
      </c>
      <c r="C4" s="9" t="s">
        <v>47</v>
      </c>
      <c r="D4" s="9" t="s">
        <v>9</v>
      </c>
      <c r="E4" s="10" t="s">
        <v>37</v>
      </c>
      <c r="F4" s="11" t="s">
        <v>3</v>
      </c>
      <c r="G4" s="23" t="s">
        <v>370</v>
      </c>
      <c r="H4" s="23" t="s">
        <v>604</v>
      </c>
      <c r="I4" s="31" t="s">
        <v>427</v>
      </c>
      <c r="J4" s="35" t="s">
        <v>5</v>
      </c>
      <c r="K4" s="15" t="s">
        <v>437</v>
      </c>
      <c r="L4" s="9" t="s">
        <v>48</v>
      </c>
      <c r="M4" s="9" t="s">
        <v>49</v>
      </c>
    </row>
    <row r="5" spans="1:13" ht="46.35" customHeight="1" x14ac:dyDescent="0.25">
      <c r="A5" s="8" t="s">
        <v>50</v>
      </c>
      <c r="B5" s="9" t="s">
        <v>51</v>
      </c>
      <c r="C5" s="9" t="s">
        <v>52</v>
      </c>
      <c r="D5" s="9" t="s">
        <v>9</v>
      </c>
      <c r="E5" s="10" t="s">
        <v>37</v>
      </c>
      <c r="F5" s="12" t="s">
        <v>4</v>
      </c>
      <c r="G5" s="24" t="s">
        <v>371</v>
      </c>
      <c r="H5" s="24" t="s">
        <v>604</v>
      </c>
      <c r="I5" s="29" t="s">
        <v>425</v>
      </c>
      <c r="J5" s="34" t="s">
        <v>4</v>
      </c>
      <c r="K5" s="15" t="s">
        <v>438</v>
      </c>
      <c r="L5" s="9" t="s">
        <v>53</v>
      </c>
      <c r="M5" s="9" t="s">
        <v>54</v>
      </c>
    </row>
    <row r="6" spans="1:13" ht="46.35" customHeight="1" x14ac:dyDescent="0.25">
      <c r="A6" s="8" t="s">
        <v>55</v>
      </c>
      <c r="B6" s="9" t="s">
        <v>56</v>
      </c>
      <c r="C6" s="9" t="s">
        <v>57</v>
      </c>
      <c r="D6" s="9" t="s">
        <v>9</v>
      </c>
      <c r="E6" s="10" t="s">
        <v>37</v>
      </c>
      <c r="F6" s="11" t="s">
        <v>3</v>
      </c>
      <c r="G6" s="23" t="s">
        <v>372</v>
      </c>
      <c r="H6" s="23" t="s">
        <v>604</v>
      </c>
      <c r="I6" s="29" t="s">
        <v>425</v>
      </c>
      <c r="J6" s="36" t="s">
        <v>3</v>
      </c>
      <c r="K6" s="15" t="s">
        <v>439</v>
      </c>
      <c r="L6" s="15" t="s">
        <v>58</v>
      </c>
      <c r="M6" s="9" t="s">
        <v>59</v>
      </c>
    </row>
    <row r="7" spans="1:13" ht="46.35" customHeight="1" x14ac:dyDescent="0.25">
      <c r="A7" s="8" t="s">
        <v>60</v>
      </c>
      <c r="B7" s="9" t="s">
        <v>61</v>
      </c>
      <c r="C7" s="9" t="s">
        <v>62</v>
      </c>
      <c r="D7" s="9" t="s">
        <v>9</v>
      </c>
      <c r="E7" s="10" t="s">
        <v>37</v>
      </c>
      <c r="F7" s="12" t="s">
        <v>4</v>
      </c>
      <c r="G7" s="24" t="s">
        <v>375</v>
      </c>
      <c r="H7" s="24" t="s">
        <v>604</v>
      </c>
      <c r="I7" s="32" t="s">
        <v>428</v>
      </c>
      <c r="J7" s="35" t="s">
        <v>5</v>
      </c>
      <c r="K7" s="15" t="s">
        <v>440</v>
      </c>
      <c r="L7" s="9" t="s">
        <v>63</v>
      </c>
      <c r="M7" s="9" t="s">
        <v>64</v>
      </c>
    </row>
    <row r="8" spans="1:13" ht="57.6" customHeight="1" x14ac:dyDescent="0.25">
      <c r="A8" s="8" t="s">
        <v>65</v>
      </c>
      <c r="B8" s="9" t="s">
        <v>66</v>
      </c>
      <c r="C8" s="9" t="s">
        <v>67</v>
      </c>
      <c r="D8" s="9" t="s">
        <v>9</v>
      </c>
      <c r="E8" s="10" t="s">
        <v>37</v>
      </c>
      <c r="F8" s="11" t="s">
        <v>3</v>
      </c>
      <c r="G8" s="23" t="s">
        <v>376</v>
      </c>
      <c r="H8" s="23" t="s">
        <v>605</v>
      </c>
      <c r="I8" s="29" t="s">
        <v>425</v>
      </c>
      <c r="J8" s="36" t="s">
        <v>3</v>
      </c>
      <c r="K8" s="15" t="s">
        <v>441</v>
      </c>
      <c r="L8" s="9" t="s">
        <v>68</v>
      </c>
      <c r="M8" s="9" t="s">
        <v>69</v>
      </c>
    </row>
    <row r="9" spans="1:13" ht="46.35" customHeight="1" x14ac:dyDescent="0.25">
      <c r="A9" s="8" t="s">
        <v>70</v>
      </c>
      <c r="B9" s="9" t="s">
        <v>71</v>
      </c>
      <c r="C9" s="9" t="s">
        <v>72</v>
      </c>
      <c r="D9" s="9" t="s">
        <v>9</v>
      </c>
      <c r="E9" s="10" t="s">
        <v>37</v>
      </c>
      <c r="F9" s="12" t="s">
        <v>4</v>
      </c>
      <c r="G9" s="24" t="s">
        <v>378</v>
      </c>
      <c r="H9" s="24" t="s">
        <v>606</v>
      </c>
      <c r="I9" s="30" t="s">
        <v>426</v>
      </c>
      <c r="J9" s="35" t="s">
        <v>5</v>
      </c>
      <c r="K9" s="15" t="s">
        <v>442</v>
      </c>
      <c r="L9" s="9" t="s">
        <v>73</v>
      </c>
      <c r="M9" s="9" t="s">
        <v>74</v>
      </c>
    </row>
    <row r="10" spans="1:13" ht="57.6" customHeight="1" x14ac:dyDescent="0.25">
      <c r="A10" s="8" t="s">
        <v>75</v>
      </c>
      <c r="B10" s="9" t="s">
        <v>76</v>
      </c>
      <c r="C10" s="9" t="s">
        <v>77</v>
      </c>
      <c r="D10" s="9" t="s">
        <v>9</v>
      </c>
      <c r="E10" s="10" t="s">
        <v>37</v>
      </c>
      <c r="F10" s="12" t="s">
        <v>4</v>
      </c>
      <c r="G10" s="24" t="s">
        <v>379</v>
      </c>
      <c r="H10" s="24" t="s">
        <v>604</v>
      </c>
      <c r="I10" s="29" t="s">
        <v>425</v>
      </c>
      <c r="J10" s="34" t="s">
        <v>4</v>
      </c>
      <c r="K10" s="15" t="s">
        <v>443</v>
      </c>
      <c r="L10" s="9" t="s">
        <v>78</v>
      </c>
      <c r="M10" s="9" t="s">
        <v>79</v>
      </c>
    </row>
    <row r="11" spans="1:13" ht="35.1" customHeight="1" x14ac:dyDescent="0.25">
      <c r="A11" s="8" t="s">
        <v>80</v>
      </c>
      <c r="B11" s="9" t="s">
        <v>81</v>
      </c>
      <c r="C11" s="9" t="s">
        <v>82</v>
      </c>
      <c r="D11" s="9" t="s">
        <v>9</v>
      </c>
      <c r="E11" s="10" t="s">
        <v>37</v>
      </c>
      <c r="F11" s="12" t="s">
        <v>4</v>
      </c>
      <c r="G11" s="24" t="s">
        <v>380</v>
      </c>
      <c r="H11" s="24" t="s">
        <v>604</v>
      </c>
      <c r="I11" s="32" t="s">
        <v>428</v>
      </c>
      <c r="J11" s="34" t="s">
        <v>4</v>
      </c>
      <c r="K11" s="15" t="s">
        <v>444</v>
      </c>
      <c r="L11" s="9" t="s">
        <v>83</v>
      </c>
      <c r="M11" s="9" t="s">
        <v>84</v>
      </c>
    </row>
    <row r="12" spans="1:13" ht="46.35" customHeight="1" x14ac:dyDescent="0.25">
      <c r="A12" s="8" t="s">
        <v>85</v>
      </c>
      <c r="B12" s="9" t="s">
        <v>86</v>
      </c>
      <c r="C12" s="9" t="s">
        <v>87</v>
      </c>
      <c r="D12" s="9" t="s">
        <v>9</v>
      </c>
      <c r="E12" s="10" t="s">
        <v>88</v>
      </c>
      <c r="F12" s="12" t="s">
        <v>4</v>
      </c>
      <c r="G12" s="24" t="s">
        <v>381</v>
      </c>
      <c r="H12" s="24" t="s">
        <v>606</v>
      </c>
      <c r="I12" s="29" t="s">
        <v>429</v>
      </c>
      <c r="J12" s="34" t="s">
        <v>4</v>
      </c>
      <c r="K12" s="15" t="s">
        <v>445</v>
      </c>
      <c r="L12" s="9" t="s">
        <v>89</v>
      </c>
      <c r="M12" s="9" t="s">
        <v>90</v>
      </c>
    </row>
    <row r="13" spans="1:13" ht="23.85" customHeight="1" x14ac:dyDescent="0.25">
      <c r="A13" s="8" t="s">
        <v>91</v>
      </c>
      <c r="B13" s="9" t="s">
        <v>92</v>
      </c>
      <c r="C13" s="9" t="s">
        <v>93</v>
      </c>
      <c r="D13" s="9" t="s">
        <v>9</v>
      </c>
      <c r="E13" s="10" t="s">
        <v>37</v>
      </c>
      <c r="F13" s="12" t="s">
        <v>4</v>
      </c>
      <c r="G13" s="24" t="s">
        <v>382</v>
      </c>
      <c r="H13" s="24" t="s">
        <v>604</v>
      </c>
      <c r="I13" s="29" t="s">
        <v>425</v>
      </c>
      <c r="J13" s="34" t="s">
        <v>4</v>
      </c>
      <c r="K13" s="15" t="s">
        <v>446</v>
      </c>
      <c r="L13" s="9" t="s">
        <v>94</v>
      </c>
      <c r="M13" s="9" t="s">
        <v>95</v>
      </c>
    </row>
    <row r="14" spans="1:13" ht="46.35" customHeight="1" x14ac:dyDescent="0.25">
      <c r="A14" s="8" t="s">
        <v>96</v>
      </c>
      <c r="B14" s="9" t="s">
        <v>97</v>
      </c>
      <c r="C14" s="9" t="s">
        <v>98</v>
      </c>
      <c r="D14" s="9" t="s">
        <v>10</v>
      </c>
      <c r="E14" s="10" t="s">
        <v>99</v>
      </c>
      <c r="F14" s="11" t="s">
        <v>3</v>
      </c>
      <c r="G14" s="23" t="s">
        <v>383</v>
      </c>
      <c r="H14" s="23" t="s">
        <v>606</v>
      </c>
      <c r="I14" s="29" t="s">
        <v>425</v>
      </c>
      <c r="J14" s="36" t="s">
        <v>3</v>
      </c>
      <c r="K14" s="15" t="s">
        <v>447</v>
      </c>
      <c r="L14" s="9" t="s">
        <v>100</v>
      </c>
      <c r="M14" s="9" t="s">
        <v>101</v>
      </c>
    </row>
    <row r="15" spans="1:13" ht="57.6" customHeight="1" x14ac:dyDescent="0.25">
      <c r="A15" s="8" t="s">
        <v>102</v>
      </c>
      <c r="B15" s="9" t="s">
        <v>103</v>
      </c>
      <c r="C15" s="9" t="s">
        <v>104</v>
      </c>
      <c r="D15" s="9" t="s">
        <v>10</v>
      </c>
      <c r="E15" s="10" t="s">
        <v>99</v>
      </c>
      <c r="F15" s="11" t="s">
        <v>3</v>
      </c>
      <c r="G15" s="26" t="s">
        <v>510</v>
      </c>
      <c r="H15" s="26" t="s">
        <v>607</v>
      </c>
      <c r="I15" s="29" t="s">
        <v>425</v>
      </c>
      <c r="J15" s="36" t="s">
        <v>3</v>
      </c>
      <c r="K15" s="15" t="s">
        <v>448</v>
      </c>
      <c r="L15" s="9" t="s">
        <v>105</v>
      </c>
      <c r="M15" s="9" t="s">
        <v>106</v>
      </c>
    </row>
    <row r="16" spans="1:13" ht="57.6" customHeight="1" x14ac:dyDescent="0.25">
      <c r="A16" s="8" t="s">
        <v>107</v>
      </c>
      <c r="B16" s="9" t="s">
        <v>108</v>
      </c>
      <c r="C16" s="9" t="s">
        <v>109</v>
      </c>
      <c r="D16" s="9" t="s">
        <v>10</v>
      </c>
      <c r="E16" s="10" t="s">
        <v>99</v>
      </c>
      <c r="F16" s="11" t="s">
        <v>3</v>
      </c>
      <c r="G16" s="26" t="s">
        <v>511</v>
      </c>
      <c r="H16" s="26" t="s">
        <v>607</v>
      </c>
      <c r="I16" s="29" t="s">
        <v>425</v>
      </c>
      <c r="J16" s="36" t="s">
        <v>3</v>
      </c>
      <c r="K16" s="15" t="s">
        <v>449</v>
      </c>
      <c r="L16" s="15" t="s">
        <v>110</v>
      </c>
      <c r="M16" s="9" t="s">
        <v>111</v>
      </c>
    </row>
    <row r="17" spans="1:13" ht="35.1" customHeight="1" x14ac:dyDescent="0.25">
      <c r="A17" s="8" t="s">
        <v>112</v>
      </c>
      <c r="B17" s="9" t="s">
        <v>113</v>
      </c>
      <c r="C17" s="9" t="s">
        <v>114</v>
      </c>
      <c r="D17" s="9" t="s">
        <v>10</v>
      </c>
      <c r="E17" s="10" t="s">
        <v>99</v>
      </c>
      <c r="F17" s="12" t="s">
        <v>4</v>
      </c>
      <c r="G17" s="24" t="s">
        <v>384</v>
      </c>
      <c r="H17" s="24" t="s">
        <v>604</v>
      </c>
      <c r="I17" s="29" t="s">
        <v>425</v>
      </c>
      <c r="J17" s="34" t="s">
        <v>4</v>
      </c>
      <c r="K17" s="15" t="s">
        <v>449</v>
      </c>
      <c r="L17" s="9" t="s">
        <v>115</v>
      </c>
      <c r="M17" s="9" t="s">
        <v>116</v>
      </c>
    </row>
    <row r="18" spans="1:13" ht="46.35" customHeight="1" x14ac:dyDescent="0.25">
      <c r="A18" s="8" t="s">
        <v>117</v>
      </c>
      <c r="B18" s="9" t="s">
        <v>118</v>
      </c>
      <c r="C18" s="9" t="s">
        <v>119</v>
      </c>
      <c r="D18" s="9" t="s">
        <v>10</v>
      </c>
      <c r="E18" s="10" t="s">
        <v>99</v>
      </c>
      <c r="F18" s="11" t="s">
        <v>3</v>
      </c>
      <c r="G18" s="23" t="s">
        <v>385</v>
      </c>
      <c r="H18" s="23" t="s">
        <v>608</v>
      </c>
      <c r="I18" s="29" t="s">
        <v>425</v>
      </c>
      <c r="J18" s="36" t="s">
        <v>3</v>
      </c>
      <c r="K18" s="15" t="s">
        <v>450</v>
      </c>
      <c r="L18" s="9" t="s">
        <v>120</v>
      </c>
      <c r="M18" s="9" t="s">
        <v>121</v>
      </c>
    </row>
    <row r="19" spans="1:13" ht="35.1" customHeight="1" x14ac:dyDescent="0.25">
      <c r="A19" s="8" t="s">
        <v>122</v>
      </c>
      <c r="B19" s="9" t="s">
        <v>123</v>
      </c>
      <c r="C19" s="9" t="s">
        <v>124</v>
      </c>
      <c r="D19" s="9" t="s">
        <v>10</v>
      </c>
      <c r="E19" s="10" t="s">
        <v>99</v>
      </c>
      <c r="F19" s="12" t="s">
        <v>4</v>
      </c>
      <c r="G19" s="26" t="s">
        <v>386</v>
      </c>
      <c r="H19" s="26" t="s">
        <v>607</v>
      </c>
      <c r="I19" s="31" t="s">
        <v>427</v>
      </c>
      <c r="J19" s="35" t="s">
        <v>5</v>
      </c>
      <c r="K19" s="15" t="s">
        <v>451</v>
      </c>
      <c r="L19" s="15" t="s">
        <v>125</v>
      </c>
      <c r="M19" s="9" t="s">
        <v>126</v>
      </c>
    </row>
    <row r="20" spans="1:13" ht="35.1" customHeight="1" x14ac:dyDescent="0.25">
      <c r="A20" s="8" t="s">
        <v>127</v>
      </c>
      <c r="B20" s="9" t="s">
        <v>128</v>
      </c>
      <c r="C20" s="9" t="s">
        <v>129</v>
      </c>
      <c r="D20" s="9" t="s">
        <v>10</v>
      </c>
      <c r="E20" s="10" t="s">
        <v>99</v>
      </c>
      <c r="F20" s="12" t="s">
        <v>4</v>
      </c>
      <c r="G20" s="26" t="s">
        <v>387</v>
      </c>
      <c r="H20" s="26" t="s">
        <v>607</v>
      </c>
      <c r="I20" s="31" t="s">
        <v>427</v>
      </c>
      <c r="J20" s="35" t="s">
        <v>5</v>
      </c>
      <c r="K20" s="15" t="s">
        <v>452</v>
      </c>
      <c r="L20" s="9" t="s">
        <v>130</v>
      </c>
      <c r="M20" s="9" t="s">
        <v>131</v>
      </c>
    </row>
    <row r="21" spans="1:13" ht="46.35" customHeight="1" x14ac:dyDescent="0.25">
      <c r="A21" s="8" t="s">
        <v>132</v>
      </c>
      <c r="B21" s="15" t="s">
        <v>133</v>
      </c>
      <c r="C21" s="9" t="s">
        <v>109</v>
      </c>
      <c r="D21" s="9" t="s">
        <v>10</v>
      </c>
      <c r="E21" s="10" t="s">
        <v>99</v>
      </c>
      <c r="F21" s="12" t="s">
        <v>4</v>
      </c>
      <c r="G21" s="24" t="s">
        <v>388</v>
      </c>
      <c r="H21" s="24" t="s">
        <v>608</v>
      </c>
      <c r="I21" s="29" t="s">
        <v>425</v>
      </c>
      <c r="J21" s="34" t="s">
        <v>4</v>
      </c>
      <c r="K21" s="15" t="s">
        <v>449</v>
      </c>
      <c r="L21" s="9" t="s">
        <v>134</v>
      </c>
      <c r="M21" s="9" t="s">
        <v>135</v>
      </c>
    </row>
    <row r="22" spans="1:13" s="20" customFormat="1" ht="35.1" customHeight="1" x14ac:dyDescent="0.25">
      <c r="A22" s="16" t="s">
        <v>136</v>
      </c>
      <c r="B22" s="17" t="s">
        <v>137</v>
      </c>
      <c r="C22" s="17" t="s">
        <v>138</v>
      </c>
      <c r="D22" s="17" t="s">
        <v>10</v>
      </c>
      <c r="E22" s="18" t="s">
        <v>99</v>
      </c>
      <c r="F22" s="19" t="s">
        <v>4</v>
      </c>
      <c r="G22" s="26" t="s">
        <v>389</v>
      </c>
      <c r="H22" s="26" t="s">
        <v>607</v>
      </c>
      <c r="I22" s="29" t="s">
        <v>430</v>
      </c>
      <c r="J22" s="34" t="s">
        <v>4</v>
      </c>
      <c r="K22" s="15" t="s">
        <v>453</v>
      </c>
      <c r="L22" s="21" t="s">
        <v>139</v>
      </c>
      <c r="M22" s="17" t="s">
        <v>140</v>
      </c>
    </row>
    <row r="23" spans="1:13" s="20" customFormat="1" ht="35.1" customHeight="1" x14ac:dyDescent="0.25">
      <c r="A23" s="16" t="s">
        <v>141</v>
      </c>
      <c r="B23" s="17" t="s">
        <v>142</v>
      </c>
      <c r="C23" s="17" t="s">
        <v>143</v>
      </c>
      <c r="D23" s="17" t="s">
        <v>10</v>
      </c>
      <c r="E23" s="18" t="s">
        <v>88</v>
      </c>
      <c r="F23" s="19" t="s">
        <v>4</v>
      </c>
      <c r="G23" s="26" t="s">
        <v>390</v>
      </c>
      <c r="H23" s="26" t="s">
        <v>607</v>
      </c>
      <c r="I23" s="29" t="s">
        <v>425</v>
      </c>
      <c r="J23" s="34" t="s">
        <v>4</v>
      </c>
      <c r="K23" s="15" t="s">
        <v>449</v>
      </c>
      <c r="L23" s="17" t="s">
        <v>144</v>
      </c>
      <c r="M23" s="17" t="s">
        <v>145</v>
      </c>
    </row>
    <row r="24" spans="1:13" s="20" customFormat="1" ht="23.85" customHeight="1" x14ac:dyDescent="0.25">
      <c r="A24" s="16" t="s">
        <v>146</v>
      </c>
      <c r="B24" s="17" t="s">
        <v>147</v>
      </c>
      <c r="C24" s="17" t="s">
        <v>148</v>
      </c>
      <c r="D24" s="17" t="s">
        <v>10</v>
      </c>
      <c r="E24" s="18" t="s">
        <v>99</v>
      </c>
      <c r="F24" s="19" t="s">
        <v>4</v>
      </c>
      <c r="G24" s="26" t="s">
        <v>391</v>
      </c>
      <c r="H24" s="26" t="s">
        <v>607</v>
      </c>
      <c r="I24" s="29" t="s">
        <v>425</v>
      </c>
      <c r="J24" s="34" t="s">
        <v>4</v>
      </c>
      <c r="K24" s="15" t="s">
        <v>454</v>
      </c>
      <c r="L24" s="21" t="s">
        <v>149</v>
      </c>
      <c r="M24" s="17" t="s">
        <v>150</v>
      </c>
    </row>
    <row r="25" spans="1:13" ht="62.25" customHeight="1" x14ac:dyDescent="0.25">
      <c r="A25" s="8" t="s">
        <v>151</v>
      </c>
      <c r="B25" s="9" t="s">
        <v>147</v>
      </c>
      <c r="C25" s="9" t="s">
        <v>148</v>
      </c>
      <c r="D25" s="9" t="s">
        <v>11</v>
      </c>
      <c r="E25" s="10" t="s">
        <v>99</v>
      </c>
      <c r="F25" s="12" t="s">
        <v>4</v>
      </c>
      <c r="G25" s="24" t="s">
        <v>392</v>
      </c>
      <c r="H25" s="24" t="s">
        <v>604</v>
      </c>
      <c r="I25" s="31" t="s">
        <v>427</v>
      </c>
      <c r="J25" s="35" t="s">
        <v>5</v>
      </c>
      <c r="K25" s="15" t="s">
        <v>455</v>
      </c>
      <c r="L25" s="9" t="s">
        <v>152</v>
      </c>
      <c r="M25" s="9" t="s">
        <v>153</v>
      </c>
    </row>
    <row r="26" spans="1:13" ht="23.85" customHeight="1" x14ac:dyDescent="0.25">
      <c r="A26" s="8" t="s">
        <v>154</v>
      </c>
      <c r="B26" s="9" t="s">
        <v>155</v>
      </c>
      <c r="C26" s="9" t="s">
        <v>156</v>
      </c>
      <c r="D26" s="9" t="s">
        <v>11</v>
      </c>
      <c r="E26" s="10" t="s">
        <v>99</v>
      </c>
      <c r="F26" s="13" t="s">
        <v>5</v>
      </c>
      <c r="G26" s="27" t="s">
        <v>393</v>
      </c>
      <c r="H26" s="27" t="s">
        <v>604</v>
      </c>
      <c r="I26" s="31" t="s">
        <v>431</v>
      </c>
      <c r="J26" s="35" t="s">
        <v>5</v>
      </c>
      <c r="K26" s="15" t="s">
        <v>456</v>
      </c>
      <c r="L26" s="15" t="s">
        <v>157</v>
      </c>
      <c r="M26" s="9" t="s">
        <v>158</v>
      </c>
    </row>
    <row r="27" spans="1:13" s="20" customFormat="1" ht="46.35" customHeight="1" x14ac:dyDescent="0.25">
      <c r="A27" s="16" t="s">
        <v>159</v>
      </c>
      <c r="B27" s="17" t="s">
        <v>160</v>
      </c>
      <c r="C27" s="17" t="s">
        <v>161</v>
      </c>
      <c r="D27" s="17" t="s">
        <v>10</v>
      </c>
      <c r="E27" s="18" t="s">
        <v>99</v>
      </c>
      <c r="F27" s="19" t="s">
        <v>4</v>
      </c>
      <c r="G27" s="25" t="s">
        <v>394</v>
      </c>
      <c r="H27" s="25" t="s">
        <v>604</v>
      </c>
      <c r="I27" s="30" t="s">
        <v>426</v>
      </c>
      <c r="J27" s="35" t="s">
        <v>5</v>
      </c>
      <c r="K27" s="15" t="s">
        <v>457</v>
      </c>
      <c r="L27" s="17" t="s">
        <v>162</v>
      </c>
      <c r="M27" s="17" t="s">
        <v>163</v>
      </c>
    </row>
    <row r="28" spans="1:13" s="20" customFormat="1" ht="46.35" customHeight="1" x14ac:dyDescent="0.25">
      <c r="A28" s="16" t="s">
        <v>164</v>
      </c>
      <c r="B28" s="17" t="s">
        <v>165</v>
      </c>
      <c r="C28" s="17" t="s">
        <v>166</v>
      </c>
      <c r="D28" s="17" t="s">
        <v>11</v>
      </c>
      <c r="E28" s="18" t="s">
        <v>99</v>
      </c>
      <c r="F28" s="19" t="s">
        <v>4</v>
      </c>
      <c r="G28" s="25" t="s">
        <v>395</v>
      </c>
      <c r="H28" s="25" t="s">
        <v>604</v>
      </c>
      <c r="I28" s="31" t="s">
        <v>427</v>
      </c>
      <c r="J28" s="35" t="s">
        <v>5</v>
      </c>
      <c r="K28" s="15" t="s">
        <v>458</v>
      </c>
      <c r="L28" s="17" t="s">
        <v>167</v>
      </c>
      <c r="M28" s="17" t="s">
        <v>168</v>
      </c>
    </row>
    <row r="29" spans="1:13" ht="46.35" customHeight="1" x14ac:dyDescent="0.25">
      <c r="A29" s="8" t="s">
        <v>169</v>
      </c>
      <c r="B29" s="9" t="s">
        <v>170</v>
      </c>
      <c r="C29" s="9" t="s">
        <v>171</v>
      </c>
      <c r="D29" s="9" t="s">
        <v>11</v>
      </c>
      <c r="E29" s="10" t="s">
        <v>99</v>
      </c>
      <c r="F29" s="12" t="s">
        <v>4</v>
      </c>
      <c r="G29" s="24" t="s">
        <v>396</v>
      </c>
      <c r="H29" s="24" t="s">
        <v>604</v>
      </c>
      <c r="I29" s="31" t="s">
        <v>427</v>
      </c>
      <c r="J29" s="35" t="s">
        <v>5</v>
      </c>
      <c r="K29" s="15" t="s">
        <v>459</v>
      </c>
      <c r="L29" s="9" t="s">
        <v>172</v>
      </c>
      <c r="M29" s="9" t="s">
        <v>173</v>
      </c>
    </row>
    <row r="30" spans="1:13" ht="68.849999999999994" customHeight="1" x14ac:dyDescent="0.25">
      <c r="A30" s="8" t="s">
        <v>174</v>
      </c>
      <c r="B30" s="9" t="s">
        <v>118</v>
      </c>
      <c r="C30" s="9" t="s">
        <v>119</v>
      </c>
      <c r="D30" s="9" t="s">
        <v>11</v>
      </c>
      <c r="E30" s="10" t="s">
        <v>99</v>
      </c>
      <c r="F30" s="12" t="s">
        <v>4</v>
      </c>
      <c r="G30" s="26" t="s">
        <v>398</v>
      </c>
      <c r="H30" s="26" t="s">
        <v>607</v>
      </c>
      <c r="I30" s="29" t="s">
        <v>425</v>
      </c>
      <c r="J30" s="34" t="s">
        <v>4</v>
      </c>
      <c r="K30" s="15" t="s">
        <v>460</v>
      </c>
      <c r="L30" s="9" t="s">
        <v>175</v>
      </c>
      <c r="M30" s="9" t="s">
        <v>176</v>
      </c>
    </row>
    <row r="31" spans="1:13" ht="23.85" customHeight="1" x14ac:dyDescent="0.25">
      <c r="A31" s="8" t="s">
        <v>177</v>
      </c>
      <c r="B31" s="9" t="s">
        <v>178</v>
      </c>
      <c r="C31" s="9" t="s">
        <v>179</v>
      </c>
      <c r="D31" s="9" t="s">
        <v>11</v>
      </c>
      <c r="E31" s="10" t="s">
        <v>99</v>
      </c>
      <c r="F31" s="12" t="s">
        <v>4</v>
      </c>
      <c r="G31" s="26" t="s">
        <v>399</v>
      </c>
      <c r="H31" s="26" t="s">
        <v>607</v>
      </c>
      <c r="I31" s="29" t="s">
        <v>425</v>
      </c>
      <c r="J31" s="34" t="s">
        <v>4</v>
      </c>
      <c r="K31" s="15" t="s">
        <v>461</v>
      </c>
      <c r="L31" s="9" t="s">
        <v>180</v>
      </c>
      <c r="M31" s="9" t="s">
        <v>181</v>
      </c>
    </row>
    <row r="32" spans="1:13" ht="35.1" customHeight="1" x14ac:dyDescent="0.25">
      <c r="A32" s="8" t="s">
        <v>182</v>
      </c>
      <c r="B32" s="9" t="s">
        <v>183</v>
      </c>
      <c r="C32" s="9" t="s">
        <v>184</v>
      </c>
      <c r="D32" s="9" t="s">
        <v>11</v>
      </c>
      <c r="E32" s="10" t="s">
        <v>99</v>
      </c>
      <c r="F32" s="13" t="s">
        <v>5</v>
      </c>
      <c r="G32" s="37" t="s">
        <v>400</v>
      </c>
      <c r="H32" s="37" t="s">
        <v>607</v>
      </c>
      <c r="I32" s="31" t="s">
        <v>427</v>
      </c>
      <c r="J32" s="35" t="s">
        <v>5</v>
      </c>
      <c r="K32" s="15" t="s">
        <v>462</v>
      </c>
      <c r="L32" s="9" t="s">
        <v>185</v>
      </c>
      <c r="M32" s="9" t="s">
        <v>186</v>
      </c>
    </row>
    <row r="33" spans="1:13" ht="68.849999999999994" customHeight="1" x14ac:dyDescent="0.25">
      <c r="A33" s="8" t="s">
        <v>187</v>
      </c>
      <c r="B33" s="9" t="s">
        <v>188</v>
      </c>
      <c r="C33" s="9" t="s">
        <v>189</v>
      </c>
      <c r="D33" s="9" t="s">
        <v>11</v>
      </c>
      <c r="E33" s="10" t="s">
        <v>99</v>
      </c>
      <c r="F33" s="11" t="s">
        <v>3</v>
      </c>
      <c r="G33" s="38" t="s">
        <v>401</v>
      </c>
      <c r="H33" s="38" t="s">
        <v>607</v>
      </c>
      <c r="I33" s="29" t="s">
        <v>425</v>
      </c>
      <c r="J33" s="36" t="s">
        <v>3</v>
      </c>
      <c r="K33" s="15" t="s">
        <v>463</v>
      </c>
      <c r="L33" s="15" t="s">
        <v>190</v>
      </c>
      <c r="M33" s="9" t="s">
        <v>191</v>
      </c>
    </row>
    <row r="34" spans="1:13" s="20" customFormat="1" ht="46.35" customHeight="1" x14ac:dyDescent="0.25">
      <c r="A34" s="16" t="s">
        <v>192</v>
      </c>
      <c r="B34" s="17" t="s">
        <v>193</v>
      </c>
      <c r="C34" s="17" t="s">
        <v>194</v>
      </c>
      <c r="D34" s="17" t="s">
        <v>11</v>
      </c>
      <c r="E34" s="18" t="s">
        <v>99</v>
      </c>
      <c r="F34" s="19" t="s">
        <v>4</v>
      </c>
      <c r="G34" s="26" t="s">
        <v>403</v>
      </c>
      <c r="H34" s="26" t="s">
        <v>607</v>
      </c>
      <c r="I34" s="29" t="s">
        <v>425</v>
      </c>
      <c r="J34" s="34" t="s">
        <v>4</v>
      </c>
      <c r="K34" s="15" t="s">
        <v>449</v>
      </c>
      <c r="L34" s="21" t="s">
        <v>195</v>
      </c>
      <c r="M34" s="17" t="s">
        <v>196</v>
      </c>
    </row>
    <row r="35" spans="1:13" ht="23.85" customHeight="1" x14ac:dyDescent="0.25">
      <c r="A35" s="8" t="s">
        <v>197</v>
      </c>
      <c r="B35" s="9" t="s">
        <v>198</v>
      </c>
      <c r="C35" s="9" t="s">
        <v>199</v>
      </c>
      <c r="D35" s="9" t="s">
        <v>11</v>
      </c>
      <c r="E35" s="10" t="s">
        <v>99</v>
      </c>
      <c r="F35" s="12" t="s">
        <v>4</v>
      </c>
      <c r="G35" s="26" t="s">
        <v>400</v>
      </c>
      <c r="H35" s="26" t="s">
        <v>607</v>
      </c>
      <c r="I35" s="29" t="s">
        <v>425</v>
      </c>
      <c r="J35" s="34" t="s">
        <v>4</v>
      </c>
      <c r="K35" s="15" t="s">
        <v>449</v>
      </c>
      <c r="L35" s="15" t="s">
        <v>200</v>
      </c>
      <c r="M35" s="9" t="s">
        <v>201</v>
      </c>
    </row>
    <row r="36" spans="1:13" s="20" customFormat="1" ht="35.1" customHeight="1" x14ac:dyDescent="0.25">
      <c r="A36" s="16" t="s">
        <v>202</v>
      </c>
      <c r="B36" s="17" t="s">
        <v>203</v>
      </c>
      <c r="C36" s="17" t="s">
        <v>204</v>
      </c>
      <c r="D36" s="17" t="s">
        <v>11</v>
      </c>
      <c r="E36" s="18" t="s">
        <v>99</v>
      </c>
      <c r="F36" s="19" t="s">
        <v>4</v>
      </c>
      <c r="G36" s="26" t="s">
        <v>404</v>
      </c>
      <c r="H36" s="26" t="s">
        <v>607</v>
      </c>
      <c r="I36" s="29" t="s">
        <v>425</v>
      </c>
      <c r="J36" s="34" t="s">
        <v>4</v>
      </c>
      <c r="K36" s="15" t="s">
        <v>449</v>
      </c>
      <c r="L36" s="21" t="s">
        <v>205</v>
      </c>
      <c r="M36" s="17" t="s">
        <v>206</v>
      </c>
    </row>
    <row r="37" spans="1:13" ht="68.849999999999994" customHeight="1" x14ac:dyDescent="0.25">
      <c r="A37" s="8" t="s">
        <v>207</v>
      </c>
      <c r="B37" s="9" t="s">
        <v>208</v>
      </c>
      <c r="C37" s="9" t="s">
        <v>209</v>
      </c>
      <c r="D37" s="9" t="s">
        <v>11</v>
      </c>
      <c r="E37" s="10" t="s">
        <v>99</v>
      </c>
      <c r="F37" s="11" t="s">
        <v>3</v>
      </c>
      <c r="G37" s="23" t="s">
        <v>407</v>
      </c>
      <c r="H37" s="23" t="s">
        <v>609</v>
      </c>
      <c r="I37" s="33" t="s">
        <v>432</v>
      </c>
      <c r="J37" s="34" t="s">
        <v>4</v>
      </c>
      <c r="K37" s="15" t="s">
        <v>464</v>
      </c>
      <c r="L37" s="15" t="s">
        <v>210</v>
      </c>
      <c r="M37" s="9" t="s">
        <v>211</v>
      </c>
    </row>
    <row r="38" spans="1:13" ht="57.6" customHeight="1" x14ac:dyDescent="0.25">
      <c r="A38" s="8" t="s">
        <v>212</v>
      </c>
      <c r="B38" s="9" t="s">
        <v>213</v>
      </c>
      <c r="C38" s="9" t="s">
        <v>214</v>
      </c>
      <c r="D38" s="9" t="s">
        <v>11</v>
      </c>
      <c r="E38" s="10" t="s">
        <v>99</v>
      </c>
      <c r="F38" s="12" t="s">
        <v>4</v>
      </c>
      <c r="G38" s="26" t="s">
        <v>410</v>
      </c>
      <c r="H38" s="26" t="s">
        <v>604</v>
      </c>
      <c r="I38" s="31" t="s">
        <v>431</v>
      </c>
      <c r="J38" s="34" t="s">
        <v>4</v>
      </c>
      <c r="K38" s="15" t="s">
        <v>465</v>
      </c>
      <c r="L38" s="9" t="s">
        <v>215</v>
      </c>
      <c r="M38" s="9" t="s">
        <v>216</v>
      </c>
    </row>
    <row r="39" spans="1:13" ht="46.35" customHeight="1" x14ac:dyDescent="0.25">
      <c r="A39" s="8" t="s">
        <v>217</v>
      </c>
      <c r="B39" s="9" t="s">
        <v>218</v>
      </c>
      <c r="C39" s="9" t="s">
        <v>219</v>
      </c>
      <c r="D39" s="9" t="s">
        <v>11</v>
      </c>
      <c r="E39" s="10" t="s">
        <v>99</v>
      </c>
      <c r="F39" s="11" t="s">
        <v>3</v>
      </c>
      <c r="G39" s="24" t="s">
        <v>408</v>
      </c>
      <c r="H39" s="24" t="s">
        <v>609</v>
      </c>
      <c r="I39" s="30" t="s">
        <v>426</v>
      </c>
      <c r="J39" s="35" t="s">
        <v>5</v>
      </c>
      <c r="K39" s="15" t="s">
        <v>466</v>
      </c>
      <c r="L39" s="9" t="s">
        <v>220</v>
      </c>
      <c r="M39" s="9" t="s">
        <v>221</v>
      </c>
    </row>
    <row r="40" spans="1:13" ht="57.6" customHeight="1" x14ac:dyDescent="0.25">
      <c r="A40" s="8" t="s">
        <v>222</v>
      </c>
      <c r="B40" s="9" t="s">
        <v>223</v>
      </c>
      <c r="C40" s="9" t="s">
        <v>224</v>
      </c>
      <c r="D40" s="9" t="s">
        <v>9</v>
      </c>
      <c r="E40" s="10" t="s">
        <v>99</v>
      </c>
      <c r="F40" s="12" t="s">
        <v>4</v>
      </c>
      <c r="G40" s="26" t="s">
        <v>512</v>
      </c>
      <c r="H40" s="26" t="s">
        <v>607</v>
      </c>
      <c r="I40" s="29" t="s">
        <v>429</v>
      </c>
      <c r="J40" s="35" t="s">
        <v>5</v>
      </c>
      <c r="K40" s="15" t="s">
        <v>467</v>
      </c>
      <c r="L40" s="9" t="s">
        <v>225</v>
      </c>
      <c r="M40" s="9" t="s">
        <v>226</v>
      </c>
    </row>
    <row r="41" spans="1:13" ht="57.6" customHeight="1" x14ac:dyDescent="0.25">
      <c r="A41" s="8" t="s">
        <v>227</v>
      </c>
      <c r="B41" s="9" t="s">
        <v>228</v>
      </c>
      <c r="C41" s="9" t="s">
        <v>229</v>
      </c>
      <c r="D41" s="9" t="s">
        <v>12</v>
      </c>
      <c r="E41" s="10" t="s">
        <v>99</v>
      </c>
      <c r="F41" s="11" t="s">
        <v>3</v>
      </c>
      <c r="G41" s="38" t="s">
        <v>411</v>
      </c>
      <c r="H41" s="38" t="s">
        <v>604</v>
      </c>
      <c r="I41" s="29" t="s">
        <v>425</v>
      </c>
      <c r="J41" s="34" t="s">
        <v>4</v>
      </c>
      <c r="K41" s="15" t="s">
        <v>468</v>
      </c>
      <c r="L41" s="9" t="s">
        <v>230</v>
      </c>
      <c r="M41" s="9" t="s">
        <v>231</v>
      </c>
    </row>
    <row r="42" spans="1:13" ht="35.1" customHeight="1" x14ac:dyDescent="0.25">
      <c r="A42" s="8" t="s">
        <v>232</v>
      </c>
      <c r="B42" s="9" t="s">
        <v>228</v>
      </c>
      <c r="C42" s="9" t="s">
        <v>233</v>
      </c>
      <c r="D42" s="9" t="s">
        <v>12</v>
      </c>
      <c r="E42" s="10" t="s">
        <v>88</v>
      </c>
      <c r="F42" s="12" t="s">
        <v>4</v>
      </c>
      <c r="G42" s="26" t="s">
        <v>400</v>
      </c>
      <c r="H42" s="26" t="s">
        <v>607</v>
      </c>
      <c r="I42" s="29" t="s">
        <v>425</v>
      </c>
      <c r="J42" s="35" t="s">
        <v>5</v>
      </c>
      <c r="K42" s="15" t="s">
        <v>469</v>
      </c>
      <c r="L42" s="9" t="s">
        <v>234</v>
      </c>
      <c r="M42" s="9" t="s">
        <v>235</v>
      </c>
    </row>
    <row r="43" spans="1:13" ht="23.85" customHeight="1" x14ac:dyDescent="0.25">
      <c r="A43" s="8" t="s">
        <v>236</v>
      </c>
      <c r="B43" s="9" t="s">
        <v>228</v>
      </c>
      <c r="C43" s="9" t="s">
        <v>237</v>
      </c>
      <c r="D43" s="9" t="s">
        <v>12</v>
      </c>
      <c r="E43" s="10" t="s">
        <v>88</v>
      </c>
      <c r="F43" s="13" t="s">
        <v>5</v>
      </c>
      <c r="G43" s="27" t="s">
        <v>412</v>
      </c>
      <c r="H43" s="27" t="s">
        <v>604</v>
      </c>
      <c r="I43" s="29" t="s">
        <v>425</v>
      </c>
      <c r="J43" s="35" t="s">
        <v>5</v>
      </c>
      <c r="K43" s="15" t="s">
        <v>470</v>
      </c>
      <c r="L43" s="9" t="s">
        <v>238</v>
      </c>
      <c r="M43" s="9" t="s">
        <v>239</v>
      </c>
    </row>
    <row r="44" spans="1:13" ht="57.6" customHeight="1" x14ac:dyDescent="0.25">
      <c r="A44" s="8" t="s">
        <v>240</v>
      </c>
      <c r="B44" s="9" t="s">
        <v>241</v>
      </c>
      <c r="C44" s="9" t="s">
        <v>242</v>
      </c>
      <c r="D44" s="9" t="s">
        <v>12</v>
      </c>
      <c r="E44" s="10" t="s">
        <v>99</v>
      </c>
      <c r="F44" s="11" t="s">
        <v>3</v>
      </c>
      <c r="G44" s="38" t="s">
        <v>413</v>
      </c>
      <c r="H44" s="38" t="s">
        <v>604</v>
      </c>
      <c r="I44" s="31" t="s">
        <v>427</v>
      </c>
      <c r="J44" s="35" t="s">
        <v>5</v>
      </c>
      <c r="K44" s="15" t="s">
        <v>471</v>
      </c>
      <c r="L44" s="9" t="s">
        <v>243</v>
      </c>
      <c r="M44" s="9" t="s">
        <v>244</v>
      </c>
    </row>
    <row r="45" spans="1:13" ht="57.6" customHeight="1" x14ac:dyDescent="0.25">
      <c r="A45" s="8" t="s">
        <v>245</v>
      </c>
      <c r="B45" s="9" t="s">
        <v>246</v>
      </c>
      <c r="C45" s="9" t="s">
        <v>247</v>
      </c>
      <c r="D45" s="9" t="s">
        <v>12</v>
      </c>
      <c r="E45" s="10" t="s">
        <v>99</v>
      </c>
      <c r="F45" s="12" t="s">
        <v>4</v>
      </c>
      <c r="G45" s="24" t="s">
        <v>412</v>
      </c>
      <c r="H45" s="24" t="s">
        <v>604</v>
      </c>
      <c r="I45" s="31" t="s">
        <v>431</v>
      </c>
      <c r="J45" s="34" t="s">
        <v>4</v>
      </c>
      <c r="K45" s="15" t="s">
        <v>472</v>
      </c>
      <c r="L45" s="9" t="s">
        <v>248</v>
      </c>
      <c r="M45" s="9" t="s">
        <v>249</v>
      </c>
    </row>
    <row r="46" spans="1:13" ht="68.849999999999994" customHeight="1" x14ac:dyDescent="0.25">
      <c r="A46" s="8" t="s">
        <v>250</v>
      </c>
      <c r="B46" s="9" t="s">
        <v>251</v>
      </c>
      <c r="C46" s="9" t="s">
        <v>252</v>
      </c>
      <c r="D46" s="9" t="s">
        <v>12</v>
      </c>
      <c r="E46" s="10" t="s">
        <v>99</v>
      </c>
      <c r="F46" s="12" t="s">
        <v>4</v>
      </c>
      <c r="G46" s="24" t="s">
        <v>412</v>
      </c>
      <c r="H46" s="24" t="s">
        <v>604</v>
      </c>
      <c r="I46" s="29" t="s">
        <v>425</v>
      </c>
      <c r="J46" s="34" t="s">
        <v>4</v>
      </c>
      <c r="K46" s="15" t="s">
        <v>473</v>
      </c>
      <c r="L46" s="15" t="s">
        <v>253</v>
      </c>
      <c r="M46" s="9" t="s">
        <v>254</v>
      </c>
    </row>
    <row r="47" spans="1:13" ht="23.85" customHeight="1" x14ac:dyDescent="0.25">
      <c r="A47" s="8" t="s">
        <v>255</v>
      </c>
      <c r="B47" s="9" t="s">
        <v>256</v>
      </c>
      <c r="C47" s="9" t="s">
        <v>257</v>
      </c>
      <c r="D47" s="9" t="s">
        <v>12</v>
      </c>
      <c r="E47" s="10" t="s">
        <v>88</v>
      </c>
      <c r="F47" s="12" t="s">
        <v>4</v>
      </c>
      <c r="G47" s="26" t="s">
        <v>400</v>
      </c>
      <c r="H47" s="26" t="s">
        <v>607</v>
      </c>
      <c r="I47" s="29" t="s">
        <v>425</v>
      </c>
      <c r="J47" s="35" t="s">
        <v>5</v>
      </c>
      <c r="K47" s="15" t="s">
        <v>474</v>
      </c>
      <c r="L47" s="15" t="s">
        <v>258</v>
      </c>
      <c r="M47" s="9" t="s">
        <v>259</v>
      </c>
    </row>
    <row r="48" spans="1:13" ht="35.1" customHeight="1" x14ac:dyDescent="0.25">
      <c r="A48" s="8" t="s">
        <v>260</v>
      </c>
      <c r="B48" s="9" t="s">
        <v>261</v>
      </c>
      <c r="C48" s="9" t="s">
        <v>262</v>
      </c>
      <c r="D48" s="9" t="s">
        <v>12</v>
      </c>
      <c r="E48" s="10" t="s">
        <v>99</v>
      </c>
      <c r="F48" s="12" t="s">
        <v>4</v>
      </c>
      <c r="G48" s="26" t="s">
        <v>414</v>
      </c>
      <c r="H48" s="26" t="s">
        <v>607</v>
      </c>
      <c r="I48" s="31" t="s">
        <v>427</v>
      </c>
      <c r="J48" s="35" t="s">
        <v>5</v>
      </c>
      <c r="K48" s="15" t="s">
        <v>475</v>
      </c>
      <c r="L48" s="9" t="s">
        <v>263</v>
      </c>
      <c r="M48" s="9" t="s">
        <v>264</v>
      </c>
    </row>
    <row r="49" spans="1:13" ht="35.1" customHeight="1" x14ac:dyDescent="0.25">
      <c r="A49" s="8" t="s">
        <v>265</v>
      </c>
      <c r="B49" s="9" t="s">
        <v>266</v>
      </c>
      <c r="C49" s="9" t="s">
        <v>267</v>
      </c>
      <c r="D49" s="9" t="s">
        <v>12</v>
      </c>
      <c r="E49" s="10" t="s">
        <v>88</v>
      </c>
      <c r="F49" s="13" t="s">
        <v>5</v>
      </c>
      <c r="G49" s="37" t="s">
        <v>400</v>
      </c>
      <c r="H49" s="37" t="s">
        <v>607</v>
      </c>
      <c r="I49" s="31" t="s">
        <v>427</v>
      </c>
      <c r="J49" s="35" t="s">
        <v>5</v>
      </c>
      <c r="K49" s="15" t="s">
        <v>476</v>
      </c>
      <c r="L49" s="22" t="s">
        <v>368</v>
      </c>
      <c r="M49" s="15" t="s">
        <v>268</v>
      </c>
    </row>
    <row r="50" spans="1:13" ht="23.85" customHeight="1" x14ac:dyDescent="0.25">
      <c r="A50" s="8" t="s">
        <v>269</v>
      </c>
      <c r="B50" s="9" t="s">
        <v>270</v>
      </c>
      <c r="C50" s="9" t="s">
        <v>271</v>
      </c>
      <c r="D50" s="9" t="s">
        <v>12</v>
      </c>
      <c r="E50" s="10" t="s">
        <v>88</v>
      </c>
      <c r="F50" s="13" t="s">
        <v>5</v>
      </c>
      <c r="G50" s="27" t="s">
        <v>415</v>
      </c>
      <c r="H50" s="27" t="s">
        <v>604</v>
      </c>
      <c r="I50" s="31" t="s">
        <v>431</v>
      </c>
      <c r="J50" s="35" t="s">
        <v>5</v>
      </c>
      <c r="K50" s="15" t="s">
        <v>477</v>
      </c>
      <c r="L50" s="15" t="s">
        <v>272</v>
      </c>
      <c r="M50" s="15" t="s">
        <v>273</v>
      </c>
    </row>
    <row r="51" spans="1:13" ht="15" customHeight="1" x14ac:dyDescent="0.25">
      <c r="A51" s="8" t="s">
        <v>274</v>
      </c>
      <c r="B51" s="9" t="s">
        <v>275</v>
      </c>
      <c r="C51" s="9" t="s">
        <v>276</v>
      </c>
      <c r="D51" s="9" t="s">
        <v>12</v>
      </c>
      <c r="E51" s="10" t="s">
        <v>88</v>
      </c>
      <c r="F51" s="13" t="s">
        <v>5</v>
      </c>
      <c r="G51" s="27" t="s">
        <v>416</v>
      </c>
      <c r="H51" s="27" t="s">
        <v>606</v>
      </c>
      <c r="I51" s="29" t="s">
        <v>425</v>
      </c>
      <c r="J51" s="35" t="s">
        <v>5</v>
      </c>
      <c r="K51" s="15" t="s">
        <v>470</v>
      </c>
      <c r="L51" s="22" t="s">
        <v>367</v>
      </c>
      <c r="M51" s="9" t="s">
        <v>277</v>
      </c>
    </row>
    <row r="52" spans="1:13" ht="35.1" customHeight="1" x14ac:dyDescent="0.25">
      <c r="A52" s="8" t="s">
        <v>278</v>
      </c>
      <c r="B52" s="9" t="s">
        <v>279</v>
      </c>
      <c r="C52" s="9" t="s">
        <v>280</v>
      </c>
      <c r="D52" s="9" t="s">
        <v>12</v>
      </c>
      <c r="E52" s="10" t="s">
        <v>88</v>
      </c>
      <c r="F52" s="13" t="s">
        <v>5</v>
      </c>
      <c r="G52" s="37" t="s">
        <v>397</v>
      </c>
      <c r="H52" s="37" t="s">
        <v>607</v>
      </c>
      <c r="I52" s="29" t="s">
        <v>425</v>
      </c>
      <c r="J52" s="35" t="s">
        <v>5</v>
      </c>
      <c r="K52" s="15" t="s">
        <v>470</v>
      </c>
      <c r="L52" s="15" t="s">
        <v>281</v>
      </c>
      <c r="M52" s="9" t="s">
        <v>282</v>
      </c>
    </row>
    <row r="53" spans="1:13" ht="35.1" customHeight="1" x14ac:dyDescent="0.25">
      <c r="A53" s="8" t="s">
        <v>283</v>
      </c>
      <c r="B53" s="9" t="s">
        <v>284</v>
      </c>
      <c r="C53" s="9" t="s">
        <v>285</v>
      </c>
      <c r="D53" s="9" t="s">
        <v>13</v>
      </c>
      <c r="E53" s="10" t="s">
        <v>88</v>
      </c>
      <c r="F53" s="12" t="s">
        <v>4</v>
      </c>
      <c r="G53" s="24" t="s">
        <v>417</v>
      </c>
      <c r="H53" s="24" t="s">
        <v>604</v>
      </c>
      <c r="I53" s="30" t="s">
        <v>426</v>
      </c>
      <c r="J53" s="35" t="s">
        <v>5</v>
      </c>
      <c r="K53" s="15" t="s">
        <v>478</v>
      </c>
      <c r="L53" s="9" t="s">
        <v>286</v>
      </c>
      <c r="M53" s="9" t="s">
        <v>287</v>
      </c>
    </row>
    <row r="54" spans="1:13" ht="23.85" customHeight="1" x14ac:dyDescent="0.25">
      <c r="A54" s="8" t="s">
        <v>288</v>
      </c>
      <c r="B54" s="9" t="s">
        <v>289</v>
      </c>
      <c r="C54" s="9" t="s">
        <v>290</v>
      </c>
      <c r="D54" s="9" t="s">
        <v>13</v>
      </c>
      <c r="E54" s="10" t="s">
        <v>88</v>
      </c>
      <c r="F54" s="12" t="s">
        <v>4</v>
      </c>
      <c r="G54" s="26" t="s">
        <v>418</v>
      </c>
      <c r="H54" s="26" t="s">
        <v>607</v>
      </c>
      <c r="I54" s="29" t="s">
        <v>425</v>
      </c>
      <c r="J54" s="35" t="s">
        <v>5</v>
      </c>
      <c r="K54" s="15" t="s">
        <v>479</v>
      </c>
      <c r="L54" s="9" t="s">
        <v>291</v>
      </c>
      <c r="M54" s="9" t="s">
        <v>292</v>
      </c>
    </row>
    <row r="55" spans="1:13" ht="35.1" customHeight="1" x14ac:dyDescent="0.25">
      <c r="A55" s="8" t="s">
        <v>293</v>
      </c>
      <c r="B55" s="9" t="s">
        <v>294</v>
      </c>
      <c r="C55" s="9" t="s">
        <v>295</v>
      </c>
      <c r="D55" s="9" t="s">
        <v>13</v>
      </c>
      <c r="E55" s="10" t="s">
        <v>88</v>
      </c>
      <c r="F55" s="12" t="s">
        <v>4</v>
      </c>
      <c r="G55" s="24" t="s">
        <v>419</v>
      </c>
      <c r="H55" s="24" t="s">
        <v>606</v>
      </c>
      <c r="I55" s="29" t="s">
        <v>425</v>
      </c>
      <c r="J55" s="35" t="s">
        <v>5</v>
      </c>
      <c r="K55" s="15" t="s">
        <v>480</v>
      </c>
      <c r="L55" s="9" t="s">
        <v>296</v>
      </c>
      <c r="M55" s="9" t="s">
        <v>297</v>
      </c>
    </row>
    <row r="56" spans="1:13" ht="23.85" customHeight="1" x14ac:dyDescent="0.25">
      <c r="A56" s="8" t="s">
        <v>298</v>
      </c>
      <c r="B56" s="9" t="s">
        <v>299</v>
      </c>
      <c r="C56" s="9" t="s">
        <v>300</v>
      </c>
      <c r="D56" s="9" t="s">
        <v>13</v>
      </c>
      <c r="E56" s="10" t="s">
        <v>88</v>
      </c>
      <c r="F56" s="12" t="s">
        <v>4</v>
      </c>
      <c r="G56" s="24" t="s">
        <v>420</v>
      </c>
      <c r="H56" s="24" t="s">
        <v>606</v>
      </c>
      <c r="I56" s="29" t="s">
        <v>425</v>
      </c>
      <c r="J56" s="35" t="s">
        <v>5</v>
      </c>
      <c r="K56" s="15" t="s">
        <v>481</v>
      </c>
      <c r="L56" s="9" t="s">
        <v>301</v>
      </c>
      <c r="M56" s="9" t="s">
        <v>302</v>
      </c>
    </row>
    <row r="57" spans="1:13" ht="35.1" customHeight="1" x14ac:dyDescent="0.25">
      <c r="A57" s="8" t="s">
        <v>303</v>
      </c>
      <c r="B57" s="9" t="s">
        <v>304</v>
      </c>
      <c r="C57" s="9" t="s">
        <v>305</v>
      </c>
      <c r="D57" s="9" t="s">
        <v>13</v>
      </c>
      <c r="E57" s="10" t="s">
        <v>88</v>
      </c>
      <c r="F57" s="12" t="s">
        <v>4</v>
      </c>
      <c r="G57" s="26" t="s">
        <v>397</v>
      </c>
      <c r="H57" s="26" t="s">
        <v>607</v>
      </c>
      <c r="I57" s="29" t="s">
        <v>430</v>
      </c>
      <c r="J57" s="35" t="s">
        <v>5</v>
      </c>
      <c r="K57" s="15" t="s">
        <v>482</v>
      </c>
      <c r="L57" s="9" t="s">
        <v>306</v>
      </c>
      <c r="M57" s="9" t="s">
        <v>307</v>
      </c>
    </row>
    <row r="58" spans="1:13" ht="35.1" customHeight="1" x14ac:dyDescent="0.25">
      <c r="A58" s="8" t="s">
        <v>308</v>
      </c>
      <c r="B58" s="9" t="s">
        <v>309</v>
      </c>
      <c r="C58" s="9" t="s">
        <v>310</v>
      </c>
      <c r="D58" s="9" t="s">
        <v>13</v>
      </c>
      <c r="E58" s="10" t="s">
        <v>88</v>
      </c>
      <c r="F58" s="12" t="s">
        <v>4</v>
      </c>
      <c r="G58" s="26" t="s">
        <v>423</v>
      </c>
      <c r="H58" s="26" t="s">
        <v>607</v>
      </c>
      <c r="I58" s="29" t="s">
        <v>425</v>
      </c>
      <c r="J58" s="34" t="s">
        <v>4</v>
      </c>
      <c r="K58" s="15" t="s">
        <v>483</v>
      </c>
      <c r="L58" s="9" t="s">
        <v>311</v>
      </c>
      <c r="M58" s="9" t="s">
        <v>312</v>
      </c>
    </row>
    <row r="59" spans="1:13" ht="23.85" customHeight="1" x14ac:dyDescent="0.25">
      <c r="A59" s="8" t="s">
        <v>313</v>
      </c>
      <c r="B59" s="9" t="s">
        <v>314</v>
      </c>
      <c r="C59" s="9" t="s">
        <v>315</v>
      </c>
      <c r="D59" s="9" t="s">
        <v>13</v>
      </c>
      <c r="E59" s="10" t="s">
        <v>88</v>
      </c>
      <c r="F59" s="13" t="s">
        <v>5</v>
      </c>
      <c r="G59" s="37" t="s">
        <v>400</v>
      </c>
      <c r="H59" s="37" t="s">
        <v>607</v>
      </c>
      <c r="I59" s="29" t="s">
        <v>425</v>
      </c>
      <c r="J59" s="35" t="s">
        <v>5</v>
      </c>
      <c r="K59" s="15" t="s">
        <v>484</v>
      </c>
      <c r="L59" s="9" t="s">
        <v>316</v>
      </c>
      <c r="M59" s="9" t="s">
        <v>317</v>
      </c>
    </row>
    <row r="60" spans="1:13" ht="68.849999999999994" customHeight="1" x14ac:dyDescent="0.25">
      <c r="A60" s="8" t="s">
        <v>318</v>
      </c>
      <c r="B60" s="9" t="s">
        <v>319</v>
      </c>
      <c r="C60" s="9" t="s">
        <v>320</v>
      </c>
      <c r="D60" s="9" t="s">
        <v>13</v>
      </c>
      <c r="E60" s="10" t="s">
        <v>88</v>
      </c>
      <c r="F60" s="13" t="s">
        <v>5</v>
      </c>
      <c r="G60" s="37" t="s">
        <v>400</v>
      </c>
      <c r="H60" s="37" t="s">
        <v>607</v>
      </c>
      <c r="I60" s="29" t="s">
        <v>425</v>
      </c>
      <c r="J60" s="35" t="s">
        <v>5</v>
      </c>
      <c r="K60" s="15" t="s">
        <v>485</v>
      </c>
      <c r="L60" s="15" t="s">
        <v>321</v>
      </c>
      <c r="M60" s="9" t="s">
        <v>322</v>
      </c>
    </row>
    <row r="61" spans="1:13" ht="23.85" customHeight="1" x14ac:dyDescent="0.25">
      <c r="A61" s="8" t="s">
        <v>323</v>
      </c>
      <c r="B61" s="9" t="s">
        <v>324</v>
      </c>
      <c r="C61" s="9" t="s">
        <v>325</v>
      </c>
      <c r="D61" s="9" t="s">
        <v>13</v>
      </c>
      <c r="E61" s="10" t="s">
        <v>88</v>
      </c>
      <c r="F61" s="13" t="s">
        <v>5</v>
      </c>
      <c r="G61" s="37" t="s">
        <v>400</v>
      </c>
      <c r="H61" s="37" t="s">
        <v>607</v>
      </c>
      <c r="I61" s="29" t="s">
        <v>425</v>
      </c>
      <c r="J61" s="35" t="s">
        <v>5</v>
      </c>
      <c r="K61" s="15" t="s">
        <v>486</v>
      </c>
      <c r="L61" s="9" t="s">
        <v>326</v>
      </c>
      <c r="M61" s="9" t="s">
        <v>327</v>
      </c>
    </row>
    <row r="62" spans="1:13" ht="35.1" customHeight="1" x14ac:dyDescent="0.25">
      <c r="A62" s="8" t="s">
        <v>328</v>
      </c>
      <c r="B62" s="9" t="s">
        <v>329</v>
      </c>
      <c r="C62" s="9" t="s">
        <v>72</v>
      </c>
      <c r="D62" s="9" t="s">
        <v>13</v>
      </c>
      <c r="E62" s="10" t="s">
        <v>88</v>
      </c>
      <c r="F62" s="13" t="s">
        <v>5</v>
      </c>
      <c r="G62" s="37" t="s">
        <v>421</v>
      </c>
      <c r="H62" s="37" t="s">
        <v>607</v>
      </c>
      <c r="I62" s="29" t="s">
        <v>425</v>
      </c>
      <c r="J62" s="35" t="s">
        <v>5</v>
      </c>
      <c r="K62" s="15" t="s">
        <v>470</v>
      </c>
      <c r="L62" s="15" t="s">
        <v>330</v>
      </c>
      <c r="M62" s="9" t="s">
        <v>331</v>
      </c>
    </row>
    <row r="63" spans="1:13" ht="46.35" customHeight="1" x14ac:dyDescent="0.25">
      <c r="A63" s="8" t="s">
        <v>332</v>
      </c>
      <c r="B63" s="9" t="s">
        <v>333</v>
      </c>
      <c r="C63" s="9" t="s">
        <v>334</v>
      </c>
      <c r="D63" s="9" t="s">
        <v>13</v>
      </c>
      <c r="E63" s="10" t="s">
        <v>88</v>
      </c>
      <c r="F63" s="13" t="s">
        <v>5</v>
      </c>
      <c r="G63" s="37" t="s">
        <v>400</v>
      </c>
      <c r="H63" s="37" t="s">
        <v>607</v>
      </c>
      <c r="I63" s="29" t="s">
        <v>425</v>
      </c>
      <c r="J63" s="34" t="s">
        <v>4</v>
      </c>
      <c r="K63" s="15" t="s">
        <v>487</v>
      </c>
      <c r="L63" s="9" t="s">
        <v>335</v>
      </c>
      <c r="M63" s="9" t="s">
        <v>336</v>
      </c>
    </row>
    <row r="64" spans="1:13" ht="23.85" customHeight="1" x14ac:dyDescent="0.25">
      <c r="A64" s="8" t="s">
        <v>337</v>
      </c>
      <c r="B64" s="9" t="s">
        <v>338</v>
      </c>
      <c r="C64" s="9" t="s">
        <v>339</v>
      </c>
      <c r="D64" s="9" t="s">
        <v>14</v>
      </c>
      <c r="E64" s="10" t="s">
        <v>99</v>
      </c>
      <c r="F64" s="12" t="s">
        <v>4</v>
      </c>
      <c r="G64" s="24" t="s">
        <v>422</v>
      </c>
      <c r="H64" s="24" t="s">
        <v>606</v>
      </c>
      <c r="I64" s="29" t="s">
        <v>425</v>
      </c>
      <c r="J64" s="34" t="s">
        <v>4</v>
      </c>
      <c r="K64" s="15" t="s">
        <v>488</v>
      </c>
      <c r="L64" s="15" t="s">
        <v>340</v>
      </c>
      <c r="M64" s="9" t="s">
        <v>341</v>
      </c>
    </row>
    <row r="65" spans="1:13" ht="23.85" customHeight="1" x14ac:dyDescent="0.25">
      <c r="A65" s="8" t="s">
        <v>342</v>
      </c>
      <c r="B65" s="9" t="s">
        <v>343</v>
      </c>
      <c r="C65" s="9" t="s">
        <v>344</v>
      </c>
      <c r="D65" s="9" t="s">
        <v>14</v>
      </c>
      <c r="E65" s="10" t="s">
        <v>99</v>
      </c>
      <c r="F65" s="12" t="s">
        <v>4</v>
      </c>
      <c r="G65" s="24" t="s">
        <v>422</v>
      </c>
      <c r="H65" s="24" t="s">
        <v>606</v>
      </c>
      <c r="I65" s="29" t="s">
        <v>425</v>
      </c>
      <c r="J65" s="34" t="s">
        <v>4</v>
      </c>
      <c r="K65" s="15" t="s">
        <v>488</v>
      </c>
      <c r="L65" s="15" t="s">
        <v>345</v>
      </c>
      <c r="M65" s="9" t="s">
        <v>346</v>
      </c>
    </row>
    <row r="66" spans="1:13" ht="35.1" customHeight="1" x14ac:dyDescent="0.25">
      <c r="A66" s="8" t="s">
        <v>347</v>
      </c>
      <c r="B66" s="9" t="s">
        <v>348</v>
      </c>
      <c r="C66" s="9" t="s">
        <v>349</v>
      </c>
      <c r="D66" s="9" t="s">
        <v>14</v>
      </c>
      <c r="E66" s="10" t="s">
        <v>88</v>
      </c>
      <c r="F66" s="13" t="s">
        <v>5</v>
      </c>
      <c r="G66" s="24" t="s">
        <v>422</v>
      </c>
      <c r="H66" s="24" t="s">
        <v>606</v>
      </c>
      <c r="I66" s="29" t="s">
        <v>425</v>
      </c>
      <c r="J66" s="35" t="s">
        <v>5</v>
      </c>
      <c r="K66" s="15" t="s">
        <v>488</v>
      </c>
      <c r="L66" s="9" t="s">
        <v>350</v>
      </c>
      <c r="M66" s="9" t="s">
        <v>351</v>
      </c>
    </row>
    <row r="67" spans="1:13" ht="35.1" customHeight="1" x14ac:dyDescent="0.25">
      <c r="A67" s="8" t="s">
        <v>352</v>
      </c>
      <c r="B67" s="9" t="s">
        <v>353</v>
      </c>
      <c r="C67" s="9" t="s">
        <v>354</v>
      </c>
      <c r="D67" s="9" t="s">
        <v>14</v>
      </c>
      <c r="E67" s="10" t="s">
        <v>99</v>
      </c>
      <c r="F67" s="12" t="s">
        <v>4</v>
      </c>
      <c r="G67" s="24" t="s">
        <v>602</v>
      </c>
      <c r="H67" s="24" t="s">
        <v>606</v>
      </c>
      <c r="I67" s="29" t="s">
        <v>425</v>
      </c>
      <c r="J67" s="34" t="s">
        <v>4</v>
      </c>
      <c r="K67" s="15" t="s">
        <v>488</v>
      </c>
      <c r="L67" s="9" t="s">
        <v>355</v>
      </c>
      <c r="M67" s="9" t="s">
        <v>356</v>
      </c>
    </row>
    <row r="68" spans="1:13" ht="35.1" customHeight="1" x14ac:dyDescent="0.25">
      <c r="A68" s="8" t="s">
        <v>357</v>
      </c>
      <c r="B68" s="9" t="s">
        <v>358</v>
      </c>
      <c r="C68" s="9" t="s">
        <v>359</v>
      </c>
      <c r="D68" s="9" t="s">
        <v>14</v>
      </c>
      <c r="E68" s="10" t="s">
        <v>88</v>
      </c>
      <c r="F68" s="13" t="s">
        <v>5</v>
      </c>
      <c r="G68" s="13"/>
      <c r="H68" s="27" t="s">
        <v>606</v>
      </c>
      <c r="I68" s="29" t="s">
        <v>430</v>
      </c>
      <c r="J68" s="35" t="s">
        <v>5</v>
      </c>
      <c r="K68" s="15" t="s">
        <v>489</v>
      </c>
      <c r="L68" s="9" t="s">
        <v>360</v>
      </c>
      <c r="M68" s="9" t="s">
        <v>361</v>
      </c>
    </row>
    <row r="69" spans="1:13" ht="35.1" customHeight="1" x14ac:dyDescent="0.25">
      <c r="A69" s="8" t="s">
        <v>362</v>
      </c>
      <c r="B69" s="9" t="s">
        <v>363</v>
      </c>
      <c r="C69" s="9" t="s">
        <v>364</v>
      </c>
      <c r="D69" s="9" t="s">
        <v>14</v>
      </c>
      <c r="E69" s="10" t="s">
        <v>88</v>
      </c>
      <c r="F69" s="14" t="s">
        <v>6</v>
      </c>
      <c r="G69" s="14"/>
      <c r="H69" s="44" t="s">
        <v>604</v>
      </c>
      <c r="I69" s="29" t="s">
        <v>425</v>
      </c>
      <c r="J69" s="29" t="s">
        <v>6</v>
      </c>
      <c r="K69" s="15" t="s">
        <v>490</v>
      </c>
      <c r="L69" s="9" t="s">
        <v>365</v>
      </c>
      <c r="M69" s="9" t="s">
        <v>366</v>
      </c>
    </row>
    <row r="70" spans="1:13" ht="165.75" x14ac:dyDescent="0.25">
      <c r="A70" s="8" t="s">
        <v>513</v>
      </c>
      <c r="B70" s="15" t="s">
        <v>514</v>
      </c>
      <c r="C70" s="15" t="s">
        <v>515</v>
      </c>
      <c r="D70" s="15" t="s">
        <v>516</v>
      </c>
      <c r="E70" s="39" t="s">
        <v>99</v>
      </c>
      <c r="F70" s="36" t="s">
        <v>3</v>
      </c>
      <c r="G70" s="40" t="s">
        <v>590</v>
      </c>
      <c r="H70" s="40" t="s">
        <v>604</v>
      </c>
      <c r="I70" s="30" t="s">
        <v>426</v>
      </c>
      <c r="J70" s="35" t="s">
        <v>5</v>
      </c>
      <c r="K70" s="15" t="s">
        <v>491</v>
      </c>
      <c r="L70" s="15" t="s">
        <v>558</v>
      </c>
      <c r="M70" s="15" t="s">
        <v>559</v>
      </c>
    </row>
    <row r="71" spans="1:13" ht="89.25" x14ac:dyDescent="0.25">
      <c r="A71" s="8" t="s">
        <v>517</v>
      </c>
      <c r="B71" s="15" t="s">
        <v>518</v>
      </c>
      <c r="C71" s="15" t="s">
        <v>519</v>
      </c>
      <c r="D71" s="15" t="s">
        <v>516</v>
      </c>
      <c r="E71" s="39" t="s">
        <v>99</v>
      </c>
      <c r="F71" s="36" t="s">
        <v>3</v>
      </c>
      <c r="G71" s="41" t="s">
        <v>591</v>
      </c>
      <c r="H71" s="41" t="s">
        <v>607</v>
      </c>
      <c r="I71" s="29" t="s">
        <v>425</v>
      </c>
      <c r="J71" s="36" t="s">
        <v>3</v>
      </c>
      <c r="K71" s="15" t="s">
        <v>492</v>
      </c>
      <c r="L71" s="15" t="s">
        <v>560</v>
      </c>
      <c r="M71" s="15" t="s">
        <v>561</v>
      </c>
    </row>
    <row r="72" spans="1:13" ht="89.25" x14ac:dyDescent="0.25">
      <c r="A72" s="8" t="s">
        <v>520</v>
      </c>
      <c r="B72" s="15" t="s">
        <v>521</v>
      </c>
      <c r="C72" s="15" t="s">
        <v>522</v>
      </c>
      <c r="D72" s="15" t="s">
        <v>516</v>
      </c>
      <c r="E72" s="39" t="s">
        <v>99</v>
      </c>
      <c r="F72" s="36" t="s">
        <v>3</v>
      </c>
      <c r="G72" s="43" t="s">
        <v>592</v>
      </c>
      <c r="H72" s="43" t="s">
        <v>607</v>
      </c>
      <c r="I72" s="29" t="s">
        <v>425</v>
      </c>
      <c r="J72" s="36" t="s">
        <v>3</v>
      </c>
      <c r="K72" s="15" t="s">
        <v>493</v>
      </c>
      <c r="L72" s="15" t="s">
        <v>562</v>
      </c>
      <c r="M72" s="15" t="s">
        <v>563</v>
      </c>
    </row>
    <row r="73" spans="1:13" ht="120" x14ac:dyDescent="0.25">
      <c r="A73" s="8" t="s">
        <v>523</v>
      </c>
      <c r="B73" s="15" t="s">
        <v>524</v>
      </c>
      <c r="C73" s="15" t="s">
        <v>72</v>
      </c>
      <c r="D73" s="15" t="s">
        <v>516</v>
      </c>
      <c r="E73" s="39" t="s">
        <v>99</v>
      </c>
      <c r="F73" s="34" t="s">
        <v>4</v>
      </c>
      <c r="G73" s="43" t="s">
        <v>593</v>
      </c>
      <c r="H73" s="43" t="s">
        <v>607</v>
      </c>
      <c r="I73" s="29" t="s">
        <v>425</v>
      </c>
      <c r="J73" s="34" t="s">
        <v>4</v>
      </c>
      <c r="K73" s="15" t="s">
        <v>494</v>
      </c>
      <c r="L73" s="15" t="s">
        <v>564</v>
      </c>
      <c r="M73" s="15" t="s">
        <v>565</v>
      </c>
    </row>
    <row r="74" spans="1:13" ht="140.25" x14ac:dyDescent="0.25">
      <c r="A74" s="8" t="s">
        <v>525</v>
      </c>
      <c r="B74" s="15" t="s">
        <v>526</v>
      </c>
      <c r="C74" s="15" t="s">
        <v>527</v>
      </c>
      <c r="D74" s="15" t="s">
        <v>516</v>
      </c>
      <c r="E74" s="39" t="s">
        <v>99</v>
      </c>
      <c r="F74" s="36" t="s">
        <v>3</v>
      </c>
      <c r="G74" s="43" t="s">
        <v>594</v>
      </c>
      <c r="H74" s="43" t="s">
        <v>604</v>
      </c>
      <c r="I74" s="29" t="s">
        <v>425</v>
      </c>
      <c r="J74" s="36" t="s">
        <v>3</v>
      </c>
      <c r="K74" s="15" t="s">
        <v>495</v>
      </c>
      <c r="L74" s="15" t="s">
        <v>566</v>
      </c>
      <c r="M74" s="15" t="s">
        <v>567</v>
      </c>
    </row>
    <row r="75" spans="1:13" ht="76.5" x14ac:dyDescent="0.25">
      <c r="A75" s="8" t="s">
        <v>528</v>
      </c>
      <c r="B75" s="15" t="s">
        <v>529</v>
      </c>
      <c r="C75" s="15" t="s">
        <v>530</v>
      </c>
      <c r="D75" s="15" t="s">
        <v>516</v>
      </c>
      <c r="E75" s="39" t="s">
        <v>99</v>
      </c>
      <c r="F75" s="34" t="s">
        <v>4</v>
      </c>
      <c r="G75" s="43" t="s">
        <v>595</v>
      </c>
      <c r="H75" s="43" t="s">
        <v>607</v>
      </c>
      <c r="I75" s="29" t="s">
        <v>425</v>
      </c>
      <c r="J75" s="34" t="s">
        <v>4</v>
      </c>
      <c r="K75" s="15" t="s">
        <v>496</v>
      </c>
      <c r="L75" s="15" t="s">
        <v>568</v>
      </c>
      <c r="M75" s="15" t="s">
        <v>569</v>
      </c>
    </row>
    <row r="76" spans="1:13" ht="102" x14ac:dyDescent="0.25">
      <c r="A76" s="8" t="s">
        <v>531</v>
      </c>
      <c r="B76" s="15" t="s">
        <v>532</v>
      </c>
      <c r="C76" s="15" t="s">
        <v>533</v>
      </c>
      <c r="D76" s="15" t="s">
        <v>516</v>
      </c>
      <c r="E76" s="39" t="s">
        <v>99</v>
      </c>
      <c r="F76" s="34" t="s">
        <v>4</v>
      </c>
      <c r="G76" s="43" t="s">
        <v>595</v>
      </c>
      <c r="H76" s="43" t="s">
        <v>607</v>
      </c>
      <c r="I76" s="29" t="s">
        <v>425</v>
      </c>
      <c r="J76" s="35" t="s">
        <v>5</v>
      </c>
      <c r="K76" s="15" t="s">
        <v>497</v>
      </c>
      <c r="L76" s="15" t="s">
        <v>570</v>
      </c>
      <c r="M76" s="15" t="s">
        <v>571</v>
      </c>
    </row>
    <row r="77" spans="1:13" ht="102" x14ac:dyDescent="0.25">
      <c r="A77" s="8" t="s">
        <v>534</v>
      </c>
      <c r="B77" s="15" t="s">
        <v>535</v>
      </c>
      <c r="C77" s="15" t="s">
        <v>536</v>
      </c>
      <c r="D77" s="15" t="s">
        <v>516</v>
      </c>
      <c r="E77" s="39" t="s">
        <v>99</v>
      </c>
      <c r="F77" s="34" t="s">
        <v>4</v>
      </c>
      <c r="G77" s="43" t="s">
        <v>595</v>
      </c>
      <c r="H77" s="43" t="s">
        <v>607</v>
      </c>
      <c r="I77" s="29" t="s">
        <v>425</v>
      </c>
      <c r="J77" s="34" t="s">
        <v>4</v>
      </c>
      <c r="K77" s="15" t="s">
        <v>498</v>
      </c>
      <c r="L77" s="15" t="s">
        <v>572</v>
      </c>
      <c r="M77" s="15" t="s">
        <v>569</v>
      </c>
    </row>
    <row r="78" spans="1:13" ht="102" x14ac:dyDescent="0.25">
      <c r="A78" s="8" t="s">
        <v>537</v>
      </c>
      <c r="B78" s="15" t="s">
        <v>538</v>
      </c>
      <c r="C78" s="15" t="s">
        <v>72</v>
      </c>
      <c r="D78" s="15" t="s">
        <v>516</v>
      </c>
      <c r="E78" s="39" t="s">
        <v>99</v>
      </c>
      <c r="F78" s="35" t="s">
        <v>5</v>
      </c>
      <c r="G78" s="42" t="s">
        <v>596</v>
      </c>
      <c r="H78" s="42" t="s">
        <v>604</v>
      </c>
      <c r="I78" s="29" t="s">
        <v>425</v>
      </c>
      <c r="J78" s="35" t="s">
        <v>5</v>
      </c>
      <c r="K78" s="15" t="s">
        <v>499</v>
      </c>
      <c r="L78" s="15" t="s">
        <v>573</v>
      </c>
      <c r="M78" s="15" t="s">
        <v>574</v>
      </c>
    </row>
    <row r="79" spans="1:13" ht="63.75" x14ac:dyDescent="0.25">
      <c r="A79" s="8" t="s">
        <v>539</v>
      </c>
      <c r="B79" s="15" t="s">
        <v>540</v>
      </c>
      <c r="C79" s="15" t="s">
        <v>72</v>
      </c>
      <c r="D79" s="15" t="s">
        <v>516</v>
      </c>
      <c r="E79" s="39" t="s">
        <v>88</v>
      </c>
      <c r="F79" s="35" t="s">
        <v>5</v>
      </c>
      <c r="G79" s="43" t="s">
        <v>595</v>
      </c>
      <c r="H79" s="43" t="s">
        <v>607</v>
      </c>
      <c r="I79" s="29" t="s">
        <v>425</v>
      </c>
      <c r="J79" s="35" t="s">
        <v>5</v>
      </c>
      <c r="K79" s="15" t="s">
        <v>500</v>
      </c>
      <c r="L79" s="15" t="s">
        <v>575</v>
      </c>
      <c r="M79" s="15" t="s">
        <v>569</v>
      </c>
    </row>
    <row r="80" spans="1:13" ht="102" x14ac:dyDescent="0.25">
      <c r="A80" s="8" t="s">
        <v>541</v>
      </c>
      <c r="B80" s="15" t="s">
        <v>542</v>
      </c>
      <c r="C80" s="15" t="s">
        <v>229</v>
      </c>
      <c r="D80" s="15" t="s">
        <v>516</v>
      </c>
      <c r="E80" s="39" t="s">
        <v>99</v>
      </c>
      <c r="F80" s="34" t="s">
        <v>4</v>
      </c>
      <c r="G80" s="43" t="s">
        <v>597</v>
      </c>
      <c r="H80" s="43" t="s">
        <v>607</v>
      </c>
      <c r="I80" s="31" t="s">
        <v>427</v>
      </c>
      <c r="J80" s="35" t="s">
        <v>5</v>
      </c>
      <c r="K80" s="15" t="s">
        <v>501</v>
      </c>
      <c r="L80" s="15" t="s">
        <v>576</v>
      </c>
      <c r="M80" s="15" t="s">
        <v>577</v>
      </c>
    </row>
    <row r="81" spans="1:13" ht="114.75" x14ac:dyDescent="0.25">
      <c r="A81" s="8" t="s">
        <v>543</v>
      </c>
      <c r="B81" s="15" t="s">
        <v>544</v>
      </c>
      <c r="C81" s="15" t="s">
        <v>545</v>
      </c>
      <c r="D81" s="15" t="s">
        <v>516</v>
      </c>
      <c r="E81" s="39" t="s">
        <v>99</v>
      </c>
      <c r="F81" s="35" t="s">
        <v>5</v>
      </c>
      <c r="G81" s="43" t="s">
        <v>595</v>
      </c>
      <c r="H81" s="43" t="s">
        <v>607</v>
      </c>
      <c r="I81" s="29" t="s">
        <v>425</v>
      </c>
      <c r="J81" s="35" t="s">
        <v>5</v>
      </c>
      <c r="K81" s="15" t="s">
        <v>502</v>
      </c>
      <c r="L81" s="15" t="s">
        <v>578</v>
      </c>
      <c r="M81" s="15" t="s">
        <v>579</v>
      </c>
    </row>
    <row r="82" spans="1:13" ht="114.75" x14ac:dyDescent="0.25">
      <c r="A82" s="8" t="s">
        <v>546</v>
      </c>
      <c r="B82" s="15" t="s">
        <v>547</v>
      </c>
      <c r="C82" s="15" t="s">
        <v>548</v>
      </c>
      <c r="D82" s="15" t="s">
        <v>516</v>
      </c>
      <c r="E82" s="39" t="s">
        <v>99</v>
      </c>
      <c r="F82" s="34" t="s">
        <v>4</v>
      </c>
      <c r="G82" s="43" t="s">
        <v>598</v>
      </c>
      <c r="H82" s="43" t="s">
        <v>604</v>
      </c>
      <c r="I82" s="29" t="s">
        <v>425</v>
      </c>
      <c r="J82" s="34" t="s">
        <v>4</v>
      </c>
      <c r="K82" s="15" t="s">
        <v>503</v>
      </c>
      <c r="L82" s="15" t="s">
        <v>580</v>
      </c>
      <c r="M82" s="15" t="s">
        <v>581</v>
      </c>
    </row>
    <row r="83" spans="1:13" ht="89.25" x14ac:dyDescent="0.25">
      <c r="A83" s="8" t="s">
        <v>549</v>
      </c>
      <c r="B83" s="15" t="s">
        <v>550</v>
      </c>
      <c r="C83" s="15" t="s">
        <v>325</v>
      </c>
      <c r="D83" s="15" t="s">
        <v>516</v>
      </c>
      <c r="E83" s="39" t="s">
        <v>88</v>
      </c>
      <c r="F83" s="35" t="s">
        <v>5</v>
      </c>
      <c r="G83" s="43" t="s">
        <v>400</v>
      </c>
      <c r="H83" s="43" t="s">
        <v>607</v>
      </c>
      <c r="I83" s="30" t="s">
        <v>426</v>
      </c>
      <c r="J83" s="35" t="s">
        <v>5</v>
      </c>
      <c r="K83" s="15" t="s">
        <v>504</v>
      </c>
      <c r="L83" s="15" t="s">
        <v>582</v>
      </c>
      <c r="M83" s="15" t="s">
        <v>583</v>
      </c>
    </row>
    <row r="84" spans="1:13" ht="76.5" x14ac:dyDescent="0.25">
      <c r="A84" s="8" t="s">
        <v>551</v>
      </c>
      <c r="B84" s="15" t="s">
        <v>552</v>
      </c>
      <c r="C84" s="15" t="s">
        <v>553</v>
      </c>
      <c r="D84" s="15" t="s">
        <v>516</v>
      </c>
      <c r="E84" s="39" t="s">
        <v>37</v>
      </c>
      <c r="F84" s="34" t="s">
        <v>4</v>
      </c>
      <c r="G84" s="43" t="s">
        <v>599</v>
      </c>
      <c r="H84" s="43" t="s">
        <v>604</v>
      </c>
      <c r="I84" s="33" t="s">
        <v>432</v>
      </c>
      <c r="J84" s="34" t="s">
        <v>4</v>
      </c>
      <c r="K84" s="15" t="s">
        <v>505</v>
      </c>
      <c r="L84" s="15" t="s">
        <v>584</v>
      </c>
      <c r="M84" s="15" t="s">
        <v>585</v>
      </c>
    </row>
    <row r="85" spans="1:13" ht="114.75" x14ac:dyDescent="0.25">
      <c r="A85" s="8" t="s">
        <v>554</v>
      </c>
      <c r="B85" s="15" t="s">
        <v>555</v>
      </c>
      <c r="C85" s="15" t="s">
        <v>233</v>
      </c>
      <c r="D85" s="15" t="s">
        <v>516</v>
      </c>
      <c r="E85" s="39" t="s">
        <v>99</v>
      </c>
      <c r="F85" s="34" t="s">
        <v>4</v>
      </c>
      <c r="G85" s="43" t="s">
        <v>600</v>
      </c>
      <c r="H85" s="43" t="s">
        <v>604</v>
      </c>
      <c r="I85" s="29" t="s">
        <v>425</v>
      </c>
      <c r="J85" s="35" t="s">
        <v>5</v>
      </c>
      <c r="K85" s="15" t="s">
        <v>506</v>
      </c>
      <c r="L85" s="15" t="s">
        <v>586</v>
      </c>
      <c r="M85" s="15" t="s">
        <v>587</v>
      </c>
    </row>
    <row r="86" spans="1:13" ht="120" x14ac:dyDescent="0.25">
      <c r="A86" s="8" t="s">
        <v>556</v>
      </c>
      <c r="B86" s="15" t="s">
        <v>557</v>
      </c>
      <c r="C86" s="15" t="s">
        <v>72</v>
      </c>
      <c r="D86" s="15" t="s">
        <v>516</v>
      </c>
      <c r="E86" s="39" t="s">
        <v>99</v>
      </c>
      <c r="F86" s="35" t="s">
        <v>5</v>
      </c>
      <c r="G86" s="43" t="s">
        <v>601</v>
      </c>
      <c r="H86" s="43" t="s">
        <v>604</v>
      </c>
      <c r="I86" s="29" t="s">
        <v>425</v>
      </c>
      <c r="J86" s="35" t="s">
        <v>5</v>
      </c>
      <c r="K86" s="15" t="s">
        <v>507</v>
      </c>
      <c r="L86" s="15" t="s">
        <v>588</v>
      </c>
      <c r="M86" s="15" t="s">
        <v>589</v>
      </c>
    </row>
  </sheetData>
  <autoFilter ref="A1:M69" xr:uid="{00000000-0009-0000-0000-000001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11D5-84B8-4471-8617-2D861EC9ACAB}">
  <dimension ref="A1:B5"/>
  <sheetViews>
    <sheetView workbookViewId="0">
      <selection activeCell="A3" sqref="A3"/>
    </sheetView>
  </sheetViews>
  <sheetFormatPr defaultRowHeight="15" x14ac:dyDescent="0.25"/>
  <cols>
    <col min="1" max="1" width="88" bestFit="1" customWidth="1"/>
  </cols>
  <sheetData>
    <row r="1" spans="1:2" x14ac:dyDescent="0.25">
      <c r="A1" t="s">
        <v>373</v>
      </c>
      <c r="B1" t="s">
        <v>374</v>
      </c>
    </row>
    <row r="2" spans="1:2" x14ac:dyDescent="0.25">
      <c r="A2" t="s">
        <v>377</v>
      </c>
    </row>
    <row r="3" spans="1:2" x14ac:dyDescent="0.25">
      <c r="A3" t="s">
        <v>402</v>
      </c>
    </row>
    <row r="4" spans="1:2" x14ac:dyDescent="0.25">
      <c r="A4" t="s">
        <v>406</v>
      </c>
      <c r="B4" t="s">
        <v>405</v>
      </c>
    </row>
    <row r="5" spans="1:2" x14ac:dyDescent="0.25">
      <c r="A5" t="s">
        <v>408</v>
      </c>
      <c r="B5"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Summary KS</vt:lpstr>
      <vt:lpstr>Comments</vt:lpstr>
      <vt:lpstr>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Kathi Schleidt</cp:lastModifiedBy>
  <cp:revision>0</cp:revision>
  <dcterms:created xsi:type="dcterms:W3CDTF">2026-08-24T15:57:23Z</dcterms:created>
  <dcterms:modified xsi:type="dcterms:W3CDTF">2026-09-02T17:05:35Z</dcterms:modified>
  <dc:language>en-US</dc:language>
</cp:coreProperties>
</file>